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56cac97e76362d/Documents/LinkedIn Learning/Excel VBA Process Modelling/"/>
    </mc:Choice>
  </mc:AlternateContent>
  <xr:revisionPtr revIDLastSave="353" documentId="13_ncr:1_{0EDA268B-5B85-4806-A471-5F33C40C221F}" xr6:coauthVersionLast="46" xr6:coauthVersionMax="46" xr10:uidLastSave="{751980EE-22A3-4323-8EA0-9FFE2D2A3227}"/>
  <bookViews>
    <workbookView xWindow="-110" yWindow="-110" windowWidth="38620" windowHeight="21220" xr2:uid="{138ADAD8-1266-4BDD-AD85-7487E9C1A8D1}"/>
  </bookViews>
  <sheets>
    <sheet name="SimSetup" sheetId="1" r:id="rId1"/>
    <sheet name="Results" sheetId="2" r:id="rId2"/>
  </sheets>
  <definedNames>
    <definedName name="NoOfRuns">SimSetup!#REF!</definedName>
    <definedName name="NoOfStations">SimSetup!$C$3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4" i="2" l="1"/>
  <c r="G234" i="2"/>
  <c r="G233" i="2"/>
  <c r="H233" i="2" s="1"/>
  <c r="G232" i="2"/>
  <c r="H232" i="2" s="1"/>
  <c r="G231" i="2"/>
  <c r="H231" i="2" s="1"/>
  <c r="G230" i="2"/>
  <c r="H230" i="2" s="1"/>
  <c r="G229" i="2"/>
  <c r="H229" i="2" s="1"/>
  <c r="G228" i="2"/>
  <c r="H228" i="2" s="1"/>
  <c r="G227" i="2"/>
  <c r="H227" i="2" s="1"/>
  <c r="G226" i="2"/>
  <c r="H226" i="2" s="1"/>
  <c r="G225" i="2"/>
  <c r="H225" i="2" s="1"/>
  <c r="G224" i="2"/>
  <c r="H224" i="2" s="1"/>
  <c r="G223" i="2"/>
  <c r="H223" i="2" s="1"/>
  <c r="G222" i="2"/>
  <c r="H222" i="2" s="1"/>
  <c r="G221" i="2"/>
  <c r="H221" i="2" s="1"/>
  <c r="G220" i="2"/>
  <c r="H220" i="2" s="1"/>
  <c r="G219" i="2"/>
  <c r="H219" i="2" s="1"/>
  <c r="G218" i="2"/>
  <c r="H218" i="2" s="1"/>
  <c r="G217" i="2"/>
  <c r="H217" i="2" s="1"/>
  <c r="G216" i="2"/>
  <c r="H216" i="2" s="1"/>
  <c r="G215" i="2"/>
  <c r="H215" i="2" s="1"/>
  <c r="G214" i="2"/>
  <c r="H214" i="2" s="1"/>
  <c r="G213" i="2"/>
  <c r="H213" i="2" s="1"/>
  <c r="G212" i="2"/>
  <c r="H212" i="2" s="1"/>
  <c r="G211" i="2"/>
  <c r="H211" i="2" s="1"/>
  <c r="G210" i="2"/>
  <c r="H210" i="2" s="1"/>
  <c r="G209" i="2"/>
  <c r="H209" i="2" s="1"/>
  <c r="G208" i="2"/>
  <c r="H208" i="2" s="1"/>
  <c r="G207" i="2"/>
  <c r="H207" i="2" s="1"/>
  <c r="G206" i="2"/>
  <c r="H206" i="2" s="1"/>
  <c r="G205" i="2"/>
  <c r="H205" i="2" s="1"/>
  <c r="G204" i="2"/>
  <c r="H204" i="2" s="1"/>
  <c r="G203" i="2"/>
  <c r="H203" i="2" s="1"/>
  <c r="G202" i="2"/>
  <c r="H202" i="2" s="1"/>
  <c r="G201" i="2"/>
  <c r="H201" i="2" s="1"/>
  <c r="G200" i="2"/>
  <c r="H200" i="2" s="1"/>
  <c r="G199" i="2"/>
  <c r="H199" i="2" s="1"/>
  <c r="G198" i="2"/>
  <c r="H198" i="2" s="1"/>
  <c r="G197" i="2"/>
  <c r="H197" i="2" s="1"/>
  <c r="G196" i="2"/>
  <c r="H196" i="2" s="1"/>
  <c r="G195" i="2"/>
  <c r="H195" i="2" s="1"/>
  <c r="G194" i="2"/>
  <c r="H194" i="2" s="1"/>
  <c r="G193" i="2"/>
  <c r="H193" i="2" s="1"/>
  <c r="G192" i="2"/>
  <c r="H192" i="2" s="1"/>
  <c r="G191" i="2"/>
  <c r="H191" i="2" s="1"/>
  <c r="G190" i="2"/>
  <c r="H190" i="2" s="1"/>
  <c r="G189" i="2"/>
  <c r="H189" i="2" s="1"/>
  <c r="G188" i="2"/>
  <c r="H188" i="2" s="1"/>
  <c r="G187" i="2"/>
  <c r="H187" i="2" s="1"/>
  <c r="G186" i="2"/>
  <c r="H186" i="2" s="1"/>
  <c r="G185" i="2"/>
  <c r="H185" i="2" s="1"/>
  <c r="G184" i="2"/>
  <c r="H184" i="2" s="1"/>
  <c r="G183" i="2"/>
  <c r="H183" i="2" s="1"/>
  <c r="G182" i="2"/>
  <c r="H182" i="2" s="1"/>
  <c r="G181" i="2"/>
  <c r="H181" i="2" s="1"/>
  <c r="G180" i="2"/>
  <c r="H180" i="2" s="1"/>
  <c r="G179" i="2"/>
  <c r="H179" i="2" s="1"/>
  <c r="G178" i="2"/>
  <c r="H178" i="2" s="1"/>
  <c r="G177" i="2"/>
  <c r="H177" i="2" s="1"/>
  <c r="G176" i="2"/>
  <c r="H176" i="2" s="1"/>
  <c r="G175" i="2"/>
  <c r="H175" i="2" s="1"/>
  <c r="G174" i="2"/>
  <c r="H174" i="2" s="1"/>
  <c r="G173" i="2"/>
  <c r="H173" i="2" s="1"/>
  <c r="G172" i="2"/>
  <c r="H172" i="2" s="1"/>
  <c r="G171" i="2"/>
  <c r="H171" i="2" s="1"/>
  <c r="G170" i="2"/>
  <c r="H170" i="2" s="1"/>
  <c r="G169" i="2"/>
  <c r="H169" i="2" s="1"/>
  <c r="G168" i="2"/>
  <c r="H168" i="2" s="1"/>
  <c r="G167" i="2"/>
  <c r="H167" i="2" s="1"/>
  <c r="G166" i="2"/>
  <c r="H166" i="2" s="1"/>
  <c r="G165" i="2"/>
  <c r="H165" i="2" s="1"/>
  <c r="G164" i="2"/>
  <c r="H164" i="2" s="1"/>
  <c r="G163" i="2"/>
  <c r="H163" i="2" s="1"/>
  <c r="G162" i="2"/>
  <c r="H162" i="2" s="1"/>
  <c r="G161" i="2"/>
  <c r="H161" i="2" s="1"/>
  <c r="G160" i="2"/>
  <c r="H160" i="2" s="1"/>
  <c r="G159" i="2"/>
  <c r="H159" i="2" s="1"/>
  <c r="G158" i="2"/>
  <c r="H158" i="2" s="1"/>
  <c r="G157" i="2"/>
  <c r="H157" i="2" s="1"/>
  <c r="G156" i="2"/>
  <c r="H156" i="2" s="1"/>
  <c r="G155" i="2"/>
  <c r="H155" i="2" s="1"/>
  <c r="G154" i="2"/>
  <c r="H154" i="2" s="1"/>
  <c r="G153" i="2"/>
  <c r="H153" i="2" s="1"/>
  <c r="G152" i="2"/>
  <c r="H152" i="2" s="1"/>
  <c r="G151" i="2"/>
  <c r="H151" i="2" s="1"/>
  <c r="G150" i="2"/>
  <c r="H150" i="2" s="1"/>
  <c r="G149" i="2"/>
  <c r="H149" i="2" s="1"/>
  <c r="G148" i="2"/>
  <c r="H148" i="2" s="1"/>
  <c r="G147" i="2"/>
  <c r="H147" i="2" s="1"/>
  <c r="G146" i="2"/>
  <c r="H146" i="2" s="1"/>
  <c r="G145" i="2"/>
  <c r="H145" i="2" s="1"/>
  <c r="G144" i="2"/>
  <c r="H144" i="2" s="1"/>
  <c r="G143" i="2"/>
  <c r="H143" i="2" s="1"/>
  <c r="G142" i="2"/>
  <c r="H142" i="2" s="1"/>
  <c r="G141" i="2"/>
  <c r="H141" i="2" s="1"/>
  <c r="G140" i="2"/>
  <c r="H140" i="2" s="1"/>
  <c r="G139" i="2"/>
  <c r="H139" i="2" s="1"/>
  <c r="G138" i="2"/>
  <c r="H138" i="2" s="1"/>
  <c r="G137" i="2"/>
  <c r="H137" i="2" s="1"/>
  <c r="G136" i="2"/>
  <c r="H136" i="2" s="1"/>
  <c r="G135" i="2"/>
  <c r="H135" i="2" s="1"/>
  <c r="G134" i="2"/>
  <c r="H134" i="2" s="1"/>
  <c r="G133" i="2"/>
  <c r="H133" i="2" s="1"/>
  <c r="G132" i="2"/>
  <c r="H132" i="2" s="1"/>
  <c r="G131" i="2"/>
  <c r="H131" i="2" s="1"/>
  <c r="G130" i="2"/>
  <c r="H130" i="2" s="1"/>
  <c r="G129" i="2"/>
  <c r="H129" i="2" s="1"/>
  <c r="G128" i="2"/>
  <c r="H128" i="2" s="1"/>
  <c r="G127" i="2"/>
  <c r="H127" i="2" s="1"/>
  <c r="G126" i="2"/>
  <c r="H126" i="2" s="1"/>
  <c r="G125" i="2"/>
  <c r="H125" i="2" s="1"/>
  <c r="G124" i="2"/>
  <c r="H124" i="2" s="1"/>
  <c r="G123" i="2"/>
  <c r="H123" i="2" s="1"/>
  <c r="G122" i="2"/>
  <c r="H122" i="2" s="1"/>
  <c r="G121" i="2"/>
  <c r="H121" i="2" s="1"/>
  <c r="G120" i="2"/>
  <c r="H120" i="2" s="1"/>
  <c r="G119" i="2"/>
  <c r="H119" i="2" s="1"/>
  <c r="G118" i="2"/>
  <c r="H118" i="2" s="1"/>
  <c r="G117" i="2"/>
  <c r="H117" i="2" s="1"/>
  <c r="G116" i="2"/>
  <c r="H116" i="2" s="1"/>
  <c r="G115" i="2"/>
  <c r="H115" i="2" s="1"/>
  <c r="G114" i="2"/>
  <c r="H114" i="2" s="1"/>
  <c r="G113" i="2"/>
  <c r="H113" i="2" s="1"/>
  <c r="G112" i="2"/>
  <c r="H112" i="2" s="1"/>
  <c r="G111" i="2"/>
  <c r="H111" i="2" s="1"/>
  <c r="G110" i="2"/>
  <c r="H110" i="2" s="1"/>
  <c r="G109" i="2"/>
  <c r="H109" i="2" s="1"/>
  <c r="G108" i="2"/>
  <c r="H108" i="2" s="1"/>
  <c r="G107" i="2"/>
  <c r="H107" i="2" s="1"/>
  <c r="G106" i="2"/>
  <c r="H106" i="2" s="1"/>
  <c r="G105" i="2"/>
  <c r="H105" i="2" s="1"/>
  <c r="G104" i="2"/>
  <c r="H104" i="2" s="1"/>
  <c r="G103" i="2"/>
  <c r="H103" i="2" s="1"/>
  <c r="G102" i="2"/>
  <c r="H102" i="2" s="1"/>
  <c r="G101" i="2"/>
  <c r="H101" i="2" s="1"/>
  <c r="G100" i="2"/>
  <c r="H100" i="2" s="1"/>
  <c r="G99" i="2"/>
  <c r="H99" i="2" s="1"/>
  <c r="G98" i="2"/>
  <c r="H98" i="2" s="1"/>
  <c r="G97" i="2"/>
  <c r="H97" i="2" s="1"/>
  <c r="G96" i="2"/>
  <c r="H96" i="2" s="1"/>
  <c r="G95" i="2"/>
  <c r="H95" i="2" s="1"/>
  <c r="G94" i="2"/>
  <c r="H94" i="2" s="1"/>
  <c r="G93" i="2"/>
  <c r="H93" i="2" s="1"/>
  <c r="G92" i="2"/>
  <c r="H92" i="2" s="1"/>
  <c r="G91" i="2"/>
  <c r="H91" i="2" s="1"/>
  <c r="G90" i="2"/>
  <c r="H90" i="2" s="1"/>
  <c r="G89" i="2"/>
  <c r="H89" i="2" s="1"/>
  <c r="G88" i="2"/>
  <c r="H88" i="2" s="1"/>
  <c r="G87" i="2"/>
  <c r="H87" i="2" s="1"/>
  <c r="G86" i="2"/>
  <c r="H86" i="2" s="1"/>
  <c r="G85" i="2"/>
  <c r="H85" i="2" s="1"/>
  <c r="G84" i="2"/>
  <c r="H84" i="2" s="1"/>
  <c r="G83" i="2"/>
  <c r="H83" i="2" s="1"/>
  <c r="G82" i="2"/>
  <c r="H82" i="2" s="1"/>
  <c r="G81" i="2"/>
  <c r="H81" i="2" s="1"/>
  <c r="G80" i="2"/>
  <c r="H80" i="2" s="1"/>
  <c r="G79" i="2"/>
  <c r="H79" i="2" s="1"/>
  <c r="G78" i="2"/>
  <c r="H78" i="2" s="1"/>
  <c r="G77" i="2"/>
  <c r="H77" i="2" s="1"/>
  <c r="G76" i="2"/>
  <c r="H76" i="2" s="1"/>
  <c r="G75" i="2"/>
  <c r="H75" i="2" s="1"/>
  <c r="G74" i="2"/>
  <c r="H74" i="2" s="1"/>
  <c r="G73" i="2"/>
  <c r="H73" i="2" s="1"/>
  <c r="G72" i="2"/>
  <c r="H72" i="2" s="1"/>
  <c r="G71" i="2"/>
  <c r="H71" i="2" s="1"/>
  <c r="G70" i="2"/>
  <c r="H70" i="2" s="1"/>
  <c r="G69" i="2"/>
  <c r="H69" i="2" s="1"/>
  <c r="G68" i="2"/>
  <c r="H68" i="2" s="1"/>
  <c r="G67" i="2"/>
  <c r="H67" i="2" s="1"/>
  <c r="G66" i="2"/>
  <c r="H66" i="2" s="1"/>
  <c r="G65" i="2"/>
  <c r="H65" i="2" s="1"/>
  <c r="G64" i="2"/>
  <c r="H64" i="2" s="1"/>
  <c r="G63" i="2"/>
  <c r="H63" i="2" s="1"/>
  <c r="G62" i="2"/>
  <c r="H62" i="2" s="1"/>
  <c r="G61" i="2"/>
  <c r="H61" i="2" s="1"/>
  <c r="G60" i="2"/>
  <c r="H60" i="2" s="1"/>
  <c r="G59" i="2"/>
  <c r="H59" i="2" s="1"/>
  <c r="G58" i="2"/>
  <c r="H58" i="2" s="1"/>
  <c r="G57" i="2"/>
  <c r="H57" i="2" s="1"/>
  <c r="G56" i="2"/>
  <c r="H56" i="2" s="1"/>
  <c r="G55" i="2"/>
  <c r="H55" i="2" s="1"/>
  <c r="G54" i="2"/>
  <c r="H54" i="2" s="1"/>
  <c r="G53" i="2"/>
  <c r="H53" i="2" s="1"/>
  <c r="G52" i="2"/>
  <c r="H52" i="2" s="1"/>
  <c r="G51" i="2"/>
  <c r="H51" i="2" s="1"/>
  <c r="G50" i="2"/>
  <c r="H50" i="2" s="1"/>
  <c r="G49" i="2"/>
  <c r="H49" i="2" s="1"/>
  <c r="G48" i="2"/>
  <c r="H48" i="2" s="1"/>
  <c r="G47" i="2"/>
  <c r="H47" i="2" s="1"/>
  <c r="G46" i="2"/>
  <c r="H46" i="2" s="1"/>
  <c r="G45" i="2"/>
  <c r="H45" i="2" s="1"/>
  <c r="G44" i="2"/>
  <c r="H44" i="2" s="1"/>
  <c r="G43" i="2"/>
  <c r="H43" i="2" s="1"/>
  <c r="G42" i="2"/>
  <c r="H42" i="2" s="1"/>
  <c r="G41" i="2"/>
  <c r="H41" i="2" s="1"/>
  <c r="G40" i="2"/>
  <c r="H40" i="2" s="1"/>
  <c r="G39" i="2"/>
  <c r="H39" i="2" s="1"/>
  <c r="G38" i="2"/>
  <c r="H38" i="2" s="1"/>
  <c r="G37" i="2"/>
  <c r="H37" i="2" s="1"/>
  <c r="G36" i="2"/>
  <c r="H36" i="2" s="1"/>
  <c r="G35" i="2"/>
  <c r="H35" i="2" s="1"/>
  <c r="G34" i="2"/>
  <c r="H34" i="2" s="1"/>
  <c r="G33" i="2"/>
  <c r="H33" i="2" s="1"/>
  <c r="G32" i="2"/>
  <c r="H32" i="2" s="1"/>
  <c r="G31" i="2"/>
  <c r="H31" i="2" s="1"/>
  <c r="G30" i="2"/>
  <c r="H30" i="2" s="1"/>
  <c r="G29" i="2"/>
  <c r="H29" i="2" s="1"/>
  <c r="G28" i="2"/>
  <c r="H28" i="2" s="1"/>
  <c r="G27" i="2"/>
  <c r="H27" i="2" s="1"/>
  <c r="G26" i="2"/>
  <c r="H26" i="2" s="1"/>
  <c r="G25" i="2"/>
  <c r="H25" i="2" s="1"/>
  <c r="G24" i="2"/>
  <c r="H24" i="2" s="1"/>
  <c r="G23" i="2"/>
  <c r="H23" i="2" s="1"/>
  <c r="G22" i="2"/>
  <c r="H22" i="2" s="1"/>
  <c r="G21" i="2"/>
  <c r="H21" i="2" s="1"/>
  <c r="G20" i="2"/>
  <c r="H20" i="2" s="1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F235" i="2"/>
  <c r="M3" i="1"/>
  <c r="M65" i="1" s="1"/>
  <c r="G235" i="2" l="1"/>
  <c r="H235" i="2"/>
  <c r="M63" i="1"/>
  <c r="M68" i="1"/>
  <c r="M64" i="1"/>
  <c r="M62" i="1"/>
  <c r="M67" i="1"/>
  <c r="M61" i="1"/>
  <c r="M66" i="1"/>
  <c r="M6" i="1"/>
  <c r="M60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C3" i="1" l="1"/>
</calcChain>
</file>

<file path=xl/sharedStrings.xml><?xml version="1.0" encoding="utf-8"?>
<sst xmlns="http://schemas.openxmlformats.org/spreadsheetml/2006/main" count="24" uniqueCount="20">
  <si>
    <t>Customer Simulation</t>
  </si>
  <si>
    <t>No. of Stations:</t>
  </si>
  <si>
    <t>Station</t>
  </si>
  <si>
    <t>Mean</t>
  </si>
  <si>
    <t>StdDev</t>
  </si>
  <si>
    <t>CustomerID</t>
  </si>
  <si>
    <t>Poisson Data</t>
  </si>
  <si>
    <t>Entered System</t>
  </si>
  <si>
    <t>Left System</t>
  </si>
  <si>
    <t>Current Station</t>
  </si>
  <si>
    <t>Is Idle</t>
  </si>
  <si>
    <t>Idle Time</t>
  </si>
  <si>
    <t>Time in System</t>
  </si>
  <si>
    <t>% Idle</t>
  </si>
  <si>
    <t>Index</t>
  </si>
  <si>
    <t>Probability</t>
  </si>
  <si>
    <t>Capacity</t>
  </si>
  <si>
    <t>ReworkTime</t>
  </si>
  <si>
    <t>Next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</si>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</sst>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-* #,##0.0000_-;\-* #,##0.0000_-;_-* &quot;-&quot;??_-;_-@_-"/>
    <numFmt numFmtId="165" formatCode="0.0%"/>
  </numFmts>
  <fonts count="4" x14ac:knownFonts="1"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0.59999389629810485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1" fillId="3" borderId="0" applyNumberFormat="0" applyBorder="0" applyAlignment="0" applyProtection="0"/>
  </cellStyleXfs>
  <cellXfs count="17">
    <xf numFmtId="0" fontId="0" fillId="0" borderId="0" xfId="0"/>
    <xf numFmtId="0" fontId="1" fillId="3" borderId="3" xfId="6" applyBorder="1"/>
    <xf numFmtId="0" fontId="3" fillId="2" borderId="2" xfId="5"/>
    <xf numFmtId="0" fontId="0" fillId="3" borderId="3" xfId="6" applyFont="1" applyBorder="1"/>
    <xf numFmtId="0" fontId="0" fillId="0" borderId="4" xfId="0" applyBorder="1"/>
    <xf numFmtId="164" fontId="0" fillId="0" borderId="5" xfId="1" applyNumberFormat="1" applyFont="1" applyBorder="1"/>
    <xf numFmtId="0" fontId="0" fillId="3" borderId="6" xfId="6" applyFont="1" applyBorder="1"/>
    <xf numFmtId="0" fontId="0" fillId="3" borderId="7" xfId="6" applyFont="1" applyBorder="1"/>
    <xf numFmtId="0" fontId="0" fillId="0" borderId="8" xfId="0" applyBorder="1"/>
    <xf numFmtId="164" fontId="0" fillId="0" borderId="9" xfId="1" applyNumberFormat="1" applyFont="1" applyBorder="1"/>
    <xf numFmtId="165" fontId="0" fillId="0" borderId="0" xfId="3" applyNumberFormat="1" applyFont="1"/>
    <xf numFmtId="41" fontId="3" fillId="2" borderId="2" xfId="2" applyFont="1" applyFill="1" applyBorder="1"/>
    <xf numFmtId="43" fontId="0" fillId="0" borderId="0" xfId="1" applyFont="1"/>
    <xf numFmtId="0" fontId="0" fillId="3" borderId="4" xfId="6" applyFont="1" applyBorder="1"/>
    <xf numFmtId="164" fontId="0" fillId="3" borderId="5" xfId="1" applyNumberFormat="1" applyFont="1" applyFill="1" applyBorder="1"/>
    <xf numFmtId="0" fontId="2" fillId="0" borderId="0" xfId="4" applyBorder="1"/>
    <xf numFmtId="165" fontId="0" fillId="0" borderId="0" xfId="0" applyNumberFormat="1"/>
  </cellXfs>
  <cellStyles count="7">
    <cellStyle name="40% - Accent5" xfId="6" builtinId="47"/>
    <cellStyle name="Comma" xfId="1" builtinId="3"/>
    <cellStyle name="Comma [0]" xfId="2" builtinId="6"/>
    <cellStyle name="Heading 1" xfId="4" builtinId="16"/>
    <cellStyle name="Input" xfId="5" builtinId="20"/>
    <cellStyle name="Normal" xfId="0" builtinId="0"/>
    <cellStyle name="Percent" xfId="3" builtinId="5"/>
  </cellStyles>
  <dxfs count="8">
    <dxf>
      <numFmt numFmtId="165" formatCode="0.0%"/>
    </dxf>
    <dxf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_-* #,##0.0000_-;\-* #,##0.0000_-;_-* &quot;-&quot;??_-;_-@_-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838200</xdr:colOff>
      <xdr:row>15</xdr:row>
      <xdr:rowOff>95250</xdr:rowOff>
    </xdr:from>
    <xdr:to>
      <xdr:col>4</xdr:col>
      <xdr:colOff>190500</xdr:colOff>
      <xdr:row>19</xdr:row>
      <xdr:rowOff>76200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7466EA-B0E3-4EE2-B7A2-BEADA3D24435}"/>
            </a:ext>
          </a:extLst>
        </xdr:cNvPr>
        <xdr:cNvSpPr/>
      </xdr:nvSpPr>
      <xdr:spPr>
        <a:xfrm>
          <a:off x="1295400" y="2209800"/>
          <a:ext cx="1225550" cy="5143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Run Simulation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237ABF-2F69-48B7-B738-ACEE074F0A24}" name="tblStations" displayName="tblStations" ref="B5:G11" totalsRowShown="0">
  <autoFilter ref="B5:G11" xr:uid="{B6EB8094-6C0A-445E-967C-524C32F952DD}"/>
  <tableColumns count="6">
    <tableColumn id="1" xr3:uid="{7E26AABE-6F6C-44A4-8BFD-0CE587817437}" name="Station"/>
    <tableColumn id="2" xr3:uid="{1BD6D907-D092-4B4E-9AD9-A9335DEAE284}" name="Mean"/>
    <tableColumn id="3" xr3:uid="{49EDF7CE-FA6B-4D5B-AA87-4AF4E2A6C7CA}" name="StdDev"/>
    <tableColumn id="5" xr3:uid="{2EF2AFBB-6B88-4900-BA74-6D65594701C8}" name="Next"/>
    <tableColumn id="4" xr3:uid="{41000283-F985-41A8-BCC9-C29115D36DF9}" name="Capacity"/>
    <tableColumn id="6" xr3:uid="{28CD653B-09CD-4CBC-92AA-659F03F7C79F}" name="Probability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28DA8-F990-45B5-820C-CEA7393D3CDD}" name="tblProbabilities" displayName="tblProbabilities" ref="L5:M68" totalsRowShown="0" headerRowDxfId="7" headerRowBorderDxfId="6" tableBorderDxfId="5" totalsRowBorderDxfId="4" headerRowCellStyle="40% - Accent5">
  <autoFilter ref="L5:M68" xr:uid="{6E89566A-E30D-402D-862C-0918C2608273}"/>
  <tableColumns count="2">
    <tableColumn id="1" xr3:uid="{E3316BE5-1100-4CB5-9003-7987482FAC6B}" name="Index" dataDxfId="3"/>
    <tableColumn id="2" xr3:uid="{483A5824-3990-47A9-853D-4BDD1650592C}" name="Probability" dataDxfId="2" dataCellStyle="Comma">
      <calculatedColumnFormula>_xlfn.POISSON.DIST(L6,$M$3,TRUE)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C72EF1-AA80-4DFA-93CD-17287682EF03}" name="tblResults" displayName="tblResults" ref="A1:H235" totalsRowCount="1">
  <autoFilter ref="A1:H234" xr:uid="{84AB9091-5156-4732-8CDF-ECA8E3660390}"/>
  <tableColumns count="8">
    <tableColumn id="1" xr3:uid="{64958C85-1C5B-4D90-BA9F-4BBA9D6CD939}" name="CustomerID" totalsRowLabel="Total"/>
    <tableColumn id="2" xr3:uid="{4657F92D-5123-491A-B6C2-63DBBFED10AF}" name="Entered System"/>
    <tableColumn id="3" xr3:uid="{0828D94C-C0B5-430B-8657-82B41F505846}" name="Left System"/>
    <tableColumn id="4" xr3:uid="{CF983D8F-8CF9-4F2F-89CE-F0F9FBFFE8F8}" name="Current Station"/>
    <tableColumn id="5" xr3:uid="{996FD2FF-9240-4942-A744-CBCD1D83146A}" name="Is Idle"/>
    <tableColumn id="6" xr3:uid="{CA5D8ACE-09E5-47EA-B98C-7D24BC2D7B13}" name="Idle Time" totalsRowFunction="sum"/>
    <tableColumn id="7" xr3:uid="{468C515B-25B2-493F-B31A-BEEE56FD2EA1}" name="Time in System" totalsRowFunction="sum">
      <calculatedColumnFormula>IF(tblResults[[#This Row],[Left System]]=0,2881-tblResults[[#This Row],[Entered System]],tblResults[[#This Row],[Left System]]-tblResults[[#This Row],[Entered System]]+1)</calculatedColumnFormula>
    </tableColumn>
    <tableColumn id="8" xr3:uid="{2D865C4D-D2BA-469D-881B-B052B765D1B0}" name="% Idle" totalsRowFunction="average" dataDxfId="1" totalsRowDxfId="0">
      <calculatedColumnFormula>tblResults[[#This Row],[Idle Time]]/tblResults[[#This Row],[Time in System]]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8B6241-11A2-4013-AD26-CDC778D91AA4}" name="tblRework" displayName="tblRework" ref="K1:M90" totalsRowShown="0">
  <autoFilter ref="K1:M90" xr:uid="{7A69E0C8-E0D3-4BFB-93D4-07F92C3A7447}"/>
  <tableColumns count="3">
    <tableColumn id="1" xr3:uid="{19C55C1F-BBAD-416E-A8C4-848F3124E228}" name="CustomerID"/>
    <tableColumn id="2" xr3:uid="{D27BD538-7A2C-4EBC-B380-1845A3E91267}" name="Station"/>
    <tableColumn id="3" xr3:uid="{9BCEBECB-9F95-4CAC-890F-5BFA10AEA3DA}" name="Rework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2365-1FB3-416A-B2A1-F9B2FC34A9E1}">
  <sheetPr codeName="Sheet1"/>
  <dimension ref="B1:T68"/>
  <sheetViews>
    <sheetView showGridLines="0" tabSelected="1" workbookViewId="0">
      <selection activeCell="M4" sqref="M4"/>
    </sheetView>
  </sheetViews>
  <sheetFormatPr defaultColWidth="8.75" defaultRowHeight="10.5" x14ac:dyDescent="0.25"/>
  <cols>
    <col min="2" max="2" width="18.5" customWidth="1"/>
    <col min="4" max="5" width="9.5" customWidth="1"/>
    <col min="13" max="13" width="12.75" customWidth="1"/>
  </cols>
  <sheetData>
    <row r="1" spans="2:20" ht="19.5" x14ac:dyDescent="0.45">
      <c r="B1" s="15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 t="s">
        <v>6</v>
      </c>
      <c r="M1" s="15"/>
      <c r="N1" s="15"/>
      <c r="O1" s="15"/>
      <c r="P1" s="15"/>
      <c r="Q1" s="15"/>
      <c r="R1" s="15"/>
      <c r="S1" s="15"/>
      <c r="T1" s="15"/>
    </row>
    <row r="3" spans="2:20" x14ac:dyDescent="0.25">
      <c r="B3" s="1" t="s">
        <v>1</v>
      </c>
      <c r="C3" s="2">
        <f>COUNT(tblStations[Station])</f>
        <v>6</v>
      </c>
      <c r="L3" s="3" t="s">
        <v>3</v>
      </c>
      <c r="M3" s="11">
        <f>AVERAGE(tblStations[Mean])</f>
        <v>12.833333333333334</v>
      </c>
    </row>
    <row r="5" spans="2:20" x14ac:dyDescent="0.25">
      <c r="B5" t="s">
        <v>2</v>
      </c>
      <c r="C5" t="s">
        <v>3</v>
      </c>
      <c r="D5" t="s">
        <v>4</v>
      </c>
      <c r="E5" t="s">
        <v>18</v>
      </c>
      <c r="F5" t="s">
        <v>16</v>
      </c>
      <c r="G5" t="s">
        <v>15</v>
      </c>
      <c r="L5" s="6" t="s">
        <v>14</v>
      </c>
      <c r="M5" s="7" t="s">
        <v>15</v>
      </c>
    </row>
    <row r="6" spans="2:20" x14ac:dyDescent="0.25">
      <c r="B6">
        <v>1</v>
      </c>
      <c r="C6">
        <v>18</v>
      </c>
      <c r="D6">
        <v>4</v>
      </c>
      <c r="E6">
        <v>2</v>
      </c>
      <c r="F6">
        <v>2</v>
      </c>
      <c r="G6" s="12">
        <v>1</v>
      </c>
      <c r="L6" s="13">
        <v>0</v>
      </c>
      <c r="M6" s="14">
        <f>_xlfn.POISSON.DIST(L6,$M$3,TRUE)</f>
        <v>2.6702636814434975E-6</v>
      </c>
    </row>
    <row r="7" spans="2:20" x14ac:dyDescent="0.25">
      <c r="B7">
        <v>2</v>
      </c>
      <c r="C7">
        <v>10</v>
      </c>
      <c r="D7">
        <v>3</v>
      </c>
      <c r="E7">
        <v>3</v>
      </c>
      <c r="F7">
        <v>1</v>
      </c>
      <c r="G7" s="12">
        <v>1</v>
      </c>
      <c r="L7" s="4">
        <v>1</v>
      </c>
      <c r="M7" s="5">
        <f t="shared" ref="M7:M59" si="0">_xlfn.POISSON.DIST(L7,$M$3,TRUE)</f>
        <v>3.6938647593301715E-5</v>
      </c>
    </row>
    <row r="8" spans="2:20" x14ac:dyDescent="0.25">
      <c r="B8">
        <v>3</v>
      </c>
      <c r="C8">
        <v>15</v>
      </c>
      <c r="D8">
        <v>5</v>
      </c>
      <c r="E8">
        <v>4</v>
      </c>
      <c r="F8">
        <v>2</v>
      </c>
      <c r="G8" s="12">
        <v>1</v>
      </c>
      <c r="L8" s="4">
        <v>2</v>
      </c>
      <c r="M8" s="5">
        <f t="shared" si="0"/>
        <v>2.5682744436105864E-4</v>
      </c>
    </row>
    <row r="9" spans="2:20" x14ac:dyDescent="0.25">
      <c r="B9">
        <v>4</v>
      </c>
      <c r="C9">
        <v>12</v>
      </c>
      <c r="D9">
        <v>2</v>
      </c>
      <c r="E9">
        <v>5</v>
      </c>
      <c r="F9">
        <v>1</v>
      </c>
      <c r="G9" s="12">
        <v>1</v>
      </c>
      <c r="L9" s="4">
        <v>3</v>
      </c>
      <c r="M9" s="5">
        <f t="shared" si="0"/>
        <v>1.1974628527564631E-3</v>
      </c>
    </row>
    <row r="10" spans="2:20" x14ac:dyDescent="0.25">
      <c r="B10">
        <v>5</v>
      </c>
      <c r="C10">
        <v>14</v>
      </c>
      <c r="D10">
        <v>4</v>
      </c>
      <c r="E10">
        <v>6</v>
      </c>
      <c r="F10">
        <v>2</v>
      </c>
      <c r="G10" s="12">
        <v>1</v>
      </c>
      <c r="L10" s="4">
        <v>4</v>
      </c>
      <c r="M10" s="5">
        <f t="shared" si="0"/>
        <v>4.2153347880250526E-3</v>
      </c>
    </row>
    <row r="11" spans="2:20" x14ac:dyDescent="0.25">
      <c r="B11">
        <v>6</v>
      </c>
      <c r="C11">
        <v>8</v>
      </c>
      <c r="D11">
        <v>3</v>
      </c>
      <c r="E11">
        <v>-1</v>
      </c>
      <c r="F11">
        <v>3</v>
      </c>
      <c r="G11" s="12">
        <v>1</v>
      </c>
      <c r="L11" s="4">
        <v>5</v>
      </c>
      <c r="M11" s="5">
        <f t="shared" si="0"/>
        <v>1.1961206088547768E-2</v>
      </c>
    </row>
    <row r="12" spans="2:20" x14ac:dyDescent="0.25">
      <c r="L12" s="4">
        <v>6</v>
      </c>
      <c r="M12" s="5">
        <f t="shared" si="0"/>
        <v>2.8528764147999132E-2</v>
      </c>
    </row>
    <row r="13" spans="2:20" x14ac:dyDescent="0.25">
      <c r="L13" s="4">
        <v>7</v>
      </c>
      <c r="M13" s="5">
        <f t="shared" si="0"/>
        <v>5.8902620590326631E-2</v>
      </c>
    </row>
    <row r="14" spans="2:20" x14ac:dyDescent="0.25">
      <c r="L14" s="4">
        <v>8</v>
      </c>
      <c r="M14" s="5">
        <f t="shared" si="0"/>
        <v>0.10762734863322702</v>
      </c>
    </row>
    <row r="15" spans="2:20" x14ac:dyDescent="0.25">
      <c r="L15" s="4">
        <v>9</v>
      </c>
      <c r="M15" s="5">
        <f t="shared" si="0"/>
        <v>0.17710520158328863</v>
      </c>
    </row>
    <row r="16" spans="2:20" x14ac:dyDescent="0.25">
      <c r="L16" s="4">
        <v>10</v>
      </c>
      <c r="M16" s="5">
        <f t="shared" si="0"/>
        <v>0.26626844620253437</v>
      </c>
    </row>
    <row r="17" spans="12:13" x14ac:dyDescent="0.25">
      <c r="L17" s="4">
        <v>11</v>
      </c>
      <c r="M17" s="5">
        <f t="shared" si="0"/>
        <v>0.37029223159165442</v>
      </c>
    </row>
    <row r="18" spans="12:13" x14ac:dyDescent="0.25">
      <c r="L18" s="4">
        <v>12</v>
      </c>
      <c r="M18" s="5">
        <f t="shared" si="0"/>
        <v>0.48153989096612992</v>
      </c>
    </row>
    <row r="19" spans="12:13" x14ac:dyDescent="0.25">
      <c r="L19" s="4">
        <v>13</v>
      </c>
      <c r="M19" s="5">
        <f t="shared" si="0"/>
        <v>0.5913612982973433</v>
      </c>
    </row>
    <row r="20" spans="12:13" x14ac:dyDescent="0.25">
      <c r="L20" s="4">
        <v>14</v>
      </c>
      <c r="M20" s="5">
        <f t="shared" si="0"/>
        <v>0.69203092168428837</v>
      </c>
    </row>
    <row r="21" spans="12:13" x14ac:dyDescent="0.25">
      <c r="L21" s="4">
        <v>15</v>
      </c>
      <c r="M21" s="5">
        <f t="shared" si="0"/>
        <v>0.77815937724867534</v>
      </c>
    </row>
    <row r="22" spans="12:13" x14ac:dyDescent="0.25">
      <c r="L22" s="4">
        <v>16</v>
      </c>
      <c r="M22" s="5">
        <f t="shared" si="0"/>
        <v>0.84724157598261041</v>
      </c>
    </row>
    <row r="23" spans="12:13" x14ac:dyDescent="0.25">
      <c r="L23" s="4">
        <v>17</v>
      </c>
      <c r="M23" s="5">
        <f t="shared" si="0"/>
        <v>0.89939186326214959</v>
      </c>
    </row>
    <row r="24" spans="12:13" x14ac:dyDescent="0.25">
      <c r="L24" s="4">
        <v>18</v>
      </c>
      <c r="M24" s="5">
        <f t="shared" si="0"/>
        <v>0.93657308660033955</v>
      </c>
    </row>
    <row r="25" spans="12:13" x14ac:dyDescent="0.25">
      <c r="L25" s="4">
        <v>19</v>
      </c>
      <c r="M25" s="5">
        <f t="shared" si="0"/>
        <v>0.96168671990771348</v>
      </c>
    </row>
    <row r="26" spans="12:13" x14ac:dyDescent="0.25">
      <c r="L26" s="4">
        <v>20</v>
      </c>
      <c r="M26" s="5">
        <f t="shared" si="0"/>
        <v>0.97780130127994513</v>
      </c>
    </row>
    <row r="27" spans="12:13" x14ac:dyDescent="0.25">
      <c r="L27" s="4">
        <v>21</v>
      </c>
      <c r="M27" s="5">
        <f t="shared" si="0"/>
        <v>0.98764910100741998</v>
      </c>
    </row>
    <row r="28" spans="12:13" x14ac:dyDescent="0.25">
      <c r="L28" s="4">
        <v>22</v>
      </c>
      <c r="M28" s="5">
        <f t="shared" si="0"/>
        <v>0.99339365084844711</v>
      </c>
    </row>
    <row r="29" spans="12:13" x14ac:dyDescent="0.25">
      <c r="L29" s="4">
        <v>23</v>
      </c>
      <c r="M29" s="5">
        <f t="shared" si="0"/>
        <v>0.99659894315104913</v>
      </c>
    </row>
    <row r="30" spans="12:13" x14ac:dyDescent="0.25">
      <c r="L30" s="4">
        <v>24</v>
      </c>
      <c r="M30" s="5">
        <f t="shared" si="0"/>
        <v>0.99831288417396824</v>
      </c>
    </row>
    <row r="31" spans="12:13" x14ac:dyDescent="0.25">
      <c r="L31" s="4">
        <v>25</v>
      </c>
      <c r="M31" s="5">
        <f t="shared" si="0"/>
        <v>0.99919270723240006</v>
      </c>
    </row>
    <row r="32" spans="12:13" x14ac:dyDescent="0.25">
      <c r="L32" s="4">
        <v>26</v>
      </c>
      <c r="M32" s="5">
        <f t="shared" si="0"/>
        <v>0.99962697887021579</v>
      </c>
    </row>
    <row r="33" spans="12:13" x14ac:dyDescent="0.25">
      <c r="L33" s="4">
        <v>27</v>
      </c>
      <c r="M33" s="5">
        <f t="shared" si="0"/>
        <v>0.99983339193263432</v>
      </c>
    </row>
    <row r="34" spans="12:13" x14ac:dyDescent="0.25">
      <c r="L34" s="4">
        <v>28</v>
      </c>
      <c r="M34" s="5">
        <f t="shared" si="0"/>
        <v>0.99992799791957621</v>
      </c>
    </row>
    <row r="35" spans="12:13" x14ac:dyDescent="0.25">
      <c r="L35" s="4">
        <v>29</v>
      </c>
      <c r="M35" s="5">
        <f t="shared" si="0"/>
        <v>0.99996986378736086</v>
      </c>
    </row>
    <row r="36" spans="12:13" x14ac:dyDescent="0.25">
      <c r="L36" s="4">
        <v>30</v>
      </c>
      <c r="M36" s="5">
        <f t="shared" si="0"/>
        <v>0.99998777307524644</v>
      </c>
    </row>
    <row r="37" spans="12:13" x14ac:dyDescent="0.25">
      <c r="L37" s="4">
        <v>31</v>
      </c>
      <c r="M37" s="5">
        <f t="shared" si="0"/>
        <v>0.99999518713528512</v>
      </c>
    </row>
    <row r="38" spans="12:13" x14ac:dyDescent="0.25">
      <c r="L38" s="4">
        <v>32</v>
      </c>
      <c r="M38" s="5">
        <f t="shared" si="0"/>
        <v>0.99999816048227985</v>
      </c>
    </row>
    <row r="39" spans="12:13" x14ac:dyDescent="0.25">
      <c r="L39" s="4">
        <v>33</v>
      </c>
      <c r="M39" s="5">
        <f t="shared" si="0"/>
        <v>0.99999931678388887</v>
      </c>
    </row>
    <row r="40" spans="12:13" x14ac:dyDescent="0.25">
      <c r="L40" s="4">
        <v>34</v>
      </c>
      <c r="M40" s="5">
        <f t="shared" si="0"/>
        <v>0.99999975323106483</v>
      </c>
    </row>
    <row r="41" spans="12:13" x14ac:dyDescent="0.25">
      <c r="L41" s="4">
        <v>35</v>
      </c>
      <c r="M41" s="5">
        <f t="shared" si="0"/>
        <v>0.99999991326169602</v>
      </c>
    </row>
    <row r="42" spans="12:13" x14ac:dyDescent="0.25">
      <c r="L42" s="4">
        <v>36</v>
      </c>
      <c r="M42" s="5">
        <f t="shared" si="0"/>
        <v>0.99999997030965249</v>
      </c>
    </row>
    <row r="43" spans="12:13" x14ac:dyDescent="0.25">
      <c r="L43" s="4">
        <v>37</v>
      </c>
      <c r="M43" s="5">
        <f t="shared" si="0"/>
        <v>0.99999999009655638</v>
      </c>
    </row>
    <row r="44" spans="12:13" x14ac:dyDescent="0.25">
      <c r="L44" s="4">
        <v>38</v>
      </c>
      <c r="M44" s="5">
        <f t="shared" si="0"/>
        <v>0.99999999677897555</v>
      </c>
    </row>
    <row r="45" spans="12:13" x14ac:dyDescent="0.25">
      <c r="L45" s="4">
        <v>39</v>
      </c>
      <c r="M45" s="5">
        <f t="shared" si="0"/>
        <v>0.99999999897789138</v>
      </c>
    </row>
    <row r="46" spans="12:13" x14ac:dyDescent="0.25">
      <c r="L46" s="4">
        <v>40</v>
      </c>
      <c r="M46" s="5">
        <f t="shared" si="0"/>
        <v>0.99999999968337683</v>
      </c>
    </row>
    <row r="47" spans="12:13" x14ac:dyDescent="0.25">
      <c r="L47" s="4">
        <v>41</v>
      </c>
      <c r="M47" s="5">
        <f t="shared" si="0"/>
        <v>0.99999999990419952</v>
      </c>
    </row>
    <row r="48" spans="12:13" x14ac:dyDescent="0.25">
      <c r="L48" s="4">
        <v>42</v>
      </c>
      <c r="M48" s="5">
        <f t="shared" si="0"/>
        <v>0.9999999999716731</v>
      </c>
    </row>
    <row r="49" spans="12:13" x14ac:dyDescent="0.25">
      <c r="L49" s="4">
        <v>43</v>
      </c>
      <c r="M49" s="5">
        <f t="shared" si="0"/>
        <v>0.99999999999181055</v>
      </c>
    </row>
    <row r="50" spans="12:13" x14ac:dyDescent="0.25">
      <c r="L50" s="4">
        <v>44</v>
      </c>
      <c r="M50" s="5">
        <f t="shared" si="0"/>
        <v>0.99999999999768396</v>
      </c>
    </row>
    <row r="51" spans="12:13" x14ac:dyDescent="0.25">
      <c r="L51" s="4">
        <v>45</v>
      </c>
      <c r="M51" s="5">
        <f t="shared" si="0"/>
        <v>0.99999999999935896</v>
      </c>
    </row>
    <row r="52" spans="12:13" x14ac:dyDescent="0.25">
      <c r="L52" s="4">
        <v>46</v>
      </c>
      <c r="M52" s="5">
        <f t="shared" si="0"/>
        <v>0.99999999999982636</v>
      </c>
    </row>
    <row r="53" spans="12:13" x14ac:dyDescent="0.25">
      <c r="L53" s="4">
        <v>47</v>
      </c>
      <c r="M53" s="5">
        <f t="shared" si="0"/>
        <v>0.99999999999995381</v>
      </c>
    </row>
    <row r="54" spans="12:13" x14ac:dyDescent="0.25">
      <c r="L54" s="4">
        <v>48</v>
      </c>
      <c r="M54" s="5">
        <f t="shared" si="0"/>
        <v>0.99999999999998801</v>
      </c>
    </row>
    <row r="55" spans="12:13" x14ac:dyDescent="0.25">
      <c r="L55" s="4">
        <v>49</v>
      </c>
      <c r="M55" s="5">
        <f t="shared" si="0"/>
        <v>0.99999999999999689</v>
      </c>
    </row>
    <row r="56" spans="12:13" x14ac:dyDescent="0.25">
      <c r="L56" s="4">
        <v>50</v>
      </c>
      <c r="M56" s="5">
        <f t="shared" si="0"/>
        <v>0.99999999999999922</v>
      </c>
    </row>
    <row r="57" spans="12:13" x14ac:dyDescent="0.25">
      <c r="L57" s="4">
        <v>51</v>
      </c>
      <c r="M57" s="5">
        <f t="shared" si="0"/>
        <v>0.99999999999999978</v>
      </c>
    </row>
    <row r="58" spans="12:13" x14ac:dyDescent="0.25">
      <c r="L58" s="4">
        <v>52</v>
      </c>
      <c r="M58" s="5">
        <f t="shared" si="0"/>
        <v>1</v>
      </c>
    </row>
    <row r="59" spans="12:13" x14ac:dyDescent="0.25">
      <c r="L59" s="8">
        <v>53</v>
      </c>
      <c r="M59" s="9">
        <f t="shared" si="0"/>
        <v>1</v>
      </c>
    </row>
    <row r="60" spans="12:13" x14ac:dyDescent="0.25">
      <c r="L60" s="4">
        <v>54</v>
      </c>
      <c r="M60" s="5">
        <f t="shared" ref="M60:M65" si="1">_xlfn.POISSON.DIST(L60,$M$3,TRUE)</f>
        <v>1</v>
      </c>
    </row>
    <row r="61" spans="12:13" x14ac:dyDescent="0.25">
      <c r="L61" s="8">
        <v>55</v>
      </c>
      <c r="M61" s="9">
        <f t="shared" si="1"/>
        <v>1</v>
      </c>
    </row>
    <row r="62" spans="12:13" x14ac:dyDescent="0.25">
      <c r="L62" s="4">
        <v>56</v>
      </c>
      <c r="M62" s="5">
        <f t="shared" si="1"/>
        <v>1</v>
      </c>
    </row>
    <row r="63" spans="12:13" x14ac:dyDescent="0.25">
      <c r="L63" s="8">
        <v>57</v>
      </c>
      <c r="M63" s="9">
        <f t="shared" si="1"/>
        <v>1</v>
      </c>
    </row>
    <row r="64" spans="12:13" x14ac:dyDescent="0.25">
      <c r="L64" s="4">
        <v>58</v>
      </c>
      <c r="M64" s="5">
        <f t="shared" si="1"/>
        <v>1</v>
      </c>
    </row>
    <row r="65" spans="12:13" x14ac:dyDescent="0.25">
      <c r="L65" s="8">
        <v>59</v>
      </c>
      <c r="M65" s="9">
        <f t="shared" si="1"/>
        <v>1</v>
      </c>
    </row>
    <row r="66" spans="12:13" x14ac:dyDescent="0.25">
      <c r="L66" s="4">
        <v>60</v>
      </c>
      <c r="M66" s="5">
        <f t="shared" ref="M66:M68" si="2">_xlfn.POISSON.DIST(L66,$M$3,TRUE)</f>
        <v>1</v>
      </c>
    </row>
    <row r="67" spans="12:13" x14ac:dyDescent="0.25">
      <c r="L67" s="8">
        <v>61</v>
      </c>
      <c r="M67" s="9">
        <f t="shared" si="2"/>
        <v>1</v>
      </c>
    </row>
    <row r="68" spans="12:13" x14ac:dyDescent="0.25">
      <c r="L68" s="4">
        <v>62</v>
      </c>
      <c r="M68" s="5">
        <f t="shared" si="2"/>
        <v>1</v>
      </c>
    </row>
  </sheetData>
  <mergeCells count="2">
    <mergeCell ref="B1:K1"/>
    <mergeCell ref="L1:T1"/>
  </mergeCells>
  <pageMargins left="0.7" right="0.7" top="0.75" bottom="0.75" header="0.3" footer="0.3"/>
  <pageSetup orientation="portrait" horizontalDpi="300" verticalDpi="30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5DF5E-1ADD-4BEC-BAFA-915D9E7A18D1}">
  <sheetPr codeName="Sheet2"/>
  <dimension ref="A1:M235"/>
  <sheetViews>
    <sheetView workbookViewId="0"/>
  </sheetViews>
  <sheetFormatPr defaultColWidth="8.75" defaultRowHeight="10.5" x14ac:dyDescent="0.25"/>
  <cols>
    <col min="1" max="7" width="24.25" customWidth="1"/>
    <col min="8" max="8" width="24.25" style="10" customWidth="1"/>
    <col min="11" max="11" width="13.25" customWidth="1"/>
    <col min="12" max="12" width="9.5" customWidth="1"/>
    <col min="13" max="13" width="14" customWidth="1"/>
  </cols>
  <sheetData>
    <row r="1" spans="1:13" x14ac:dyDescent="0.25">
      <c r="A1" t="s">
        <v>5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s="10" t="s">
        <v>13</v>
      </c>
      <c r="K1" t="s">
        <v>5</v>
      </c>
      <c r="L1" t="s">
        <v>2</v>
      </c>
      <c r="M1" t="s">
        <v>17</v>
      </c>
    </row>
    <row r="2" spans="1:13" x14ac:dyDescent="0.25">
      <c r="A2">
        <v>1</v>
      </c>
      <c r="B2">
        <v>1</v>
      </c>
      <c r="C2">
        <v>83</v>
      </c>
      <c r="D2">
        <v>-1</v>
      </c>
      <c r="E2" t="b">
        <v>1</v>
      </c>
      <c r="F2">
        <v>0</v>
      </c>
      <c r="G2">
        <f>IF(tblResults[[#This Row],[Left System]]=0,2881-tblResults[[#This Row],[Entered System]],tblResults[[#This Row],[Left System]]-tblResults[[#This Row],[Entered System]]+1)</f>
        <v>83</v>
      </c>
      <c r="H2" s="10">
        <f>tblResults[[#This Row],[Idle Time]]/tblResults[[#This Row],[Time in System]]</f>
        <v>0</v>
      </c>
      <c r="K2">
        <v>2</v>
      </c>
      <c r="L2">
        <v>1</v>
      </c>
      <c r="M2">
        <v>16</v>
      </c>
    </row>
    <row r="3" spans="1:13" x14ac:dyDescent="0.25">
      <c r="A3">
        <v>2</v>
      </c>
      <c r="B3">
        <v>10</v>
      </c>
      <c r="C3">
        <v>109</v>
      </c>
      <c r="D3">
        <v>-1</v>
      </c>
      <c r="E3" t="b">
        <v>1</v>
      </c>
      <c r="F3">
        <v>0</v>
      </c>
      <c r="G3">
        <f>IF(tblResults[[#This Row],[Left System]]=0,2881-tblResults[[#This Row],[Entered System]],tblResults[[#This Row],[Left System]]-tblResults[[#This Row],[Entered System]]+1)</f>
        <v>100</v>
      </c>
      <c r="H3" s="10">
        <f>tblResults[[#This Row],[Idle Time]]/tblResults[[#This Row],[Time in System]]</f>
        <v>0</v>
      </c>
      <c r="K3">
        <v>3</v>
      </c>
      <c r="L3">
        <v>1</v>
      </c>
      <c r="M3">
        <v>20</v>
      </c>
    </row>
    <row r="4" spans="1:13" x14ac:dyDescent="0.25">
      <c r="A4">
        <v>3</v>
      </c>
      <c r="B4">
        <v>22</v>
      </c>
      <c r="C4">
        <v>159</v>
      </c>
      <c r="D4">
        <v>-1</v>
      </c>
      <c r="E4" t="b">
        <v>1</v>
      </c>
      <c r="F4">
        <v>42</v>
      </c>
      <c r="G4">
        <f>IF(tblResults[[#This Row],[Left System]]=0,2881-tblResults[[#This Row],[Entered System]],tblResults[[#This Row],[Left System]]-tblResults[[#This Row],[Entered System]]+1)</f>
        <v>138</v>
      </c>
      <c r="H4" s="10">
        <f>tblResults[[#This Row],[Idle Time]]/tblResults[[#This Row],[Time in System]]</f>
        <v>0.30434782608695654</v>
      </c>
      <c r="K4">
        <v>7</v>
      </c>
      <c r="L4">
        <v>1</v>
      </c>
      <c r="M4">
        <v>15</v>
      </c>
    </row>
    <row r="5" spans="1:13" x14ac:dyDescent="0.25">
      <c r="A5">
        <v>4</v>
      </c>
      <c r="B5">
        <v>35</v>
      </c>
      <c r="C5">
        <v>123</v>
      </c>
      <c r="D5">
        <v>-1</v>
      </c>
      <c r="E5" t="b">
        <v>1</v>
      </c>
      <c r="F5">
        <v>14</v>
      </c>
      <c r="G5">
        <f>IF(tblResults[[#This Row],[Left System]]=0,2881-tblResults[[#This Row],[Entered System]],tblResults[[#This Row],[Left System]]-tblResults[[#This Row],[Entered System]]+1)</f>
        <v>89</v>
      </c>
      <c r="H5" s="10">
        <f>tblResults[[#This Row],[Idle Time]]/tblResults[[#This Row],[Time in System]]</f>
        <v>0.15730337078651685</v>
      </c>
      <c r="K5">
        <v>9</v>
      </c>
      <c r="L5">
        <v>1</v>
      </c>
      <c r="M5">
        <v>22</v>
      </c>
    </row>
    <row r="6" spans="1:13" x14ac:dyDescent="0.25">
      <c r="A6">
        <v>5</v>
      </c>
      <c r="B6">
        <v>48</v>
      </c>
      <c r="C6">
        <v>150</v>
      </c>
      <c r="D6">
        <v>-1</v>
      </c>
      <c r="E6" t="b">
        <v>1</v>
      </c>
      <c r="F6">
        <v>18</v>
      </c>
      <c r="G6">
        <f>IF(tblResults[[#This Row],[Left System]]=0,2881-tblResults[[#This Row],[Entered System]],tblResults[[#This Row],[Left System]]-tblResults[[#This Row],[Entered System]]+1)</f>
        <v>103</v>
      </c>
      <c r="H6" s="10">
        <f>tblResults[[#This Row],[Idle Time]]/tblResults[[#This Row],[Time in System]]</f>
        <v>0.17475728155339806</v>
      </c>
      <c r="K6">
        <v>8</v>
      </c>
      <c r="L6">
        <v>5</v>
      </c>
      <c r="M6">
        <v>7</v>
      </c>
    </row>
    <row r="7" spans="1:13" x14ac:dyDescent="0.25">
      <c r="A7">
        <v>6</v>
      </c>
      <c r="B7">
        <v>66</v>
      </c>
      <c r="C7">
        <v>158</v>
      </c>
      <c r="D7">
        <v>-1</v>
      </c>
      <c r="E7" t="b">
        <v>1</v>
      </c>
      <c r="F7">
        <v>8</v>
      </c>
      <c r="G7">
        <f>IF(tblResults[[#This Row],[Left System]]=0,2881-tblResults[[#This Row],[Entered System]],tblResults[[#This Row],[Left System]]-tblResults[[#This Row],[Entered System]]+1)</f>
        <v>93</v>
      </c>
      <c r="H7" s="10">
        <f>tblResults[[#This Row],[Idle Time]]/tblResults[[#This Row],[Time in System]]</f>
        <v>8.6021505376344093E-2</v>
      </c>
      <c r="K7">
        <v>19</v>
      </c>
      <c r="L7">
        <v>2</v>
      </c>
      <c r="M7">
        <v>11</v>
      </c>
    </row>
    <row r="8" spans="1:13" x14ac:dyDescent="0.25">
      <c r="A8">
        <v>7</v>
      </c>
      <c r="B8">
        <v>82</v>
      </c>
      <c r="C8">
        <v>180</v>
      </c>
      <c r="D8">
        <v>-1</v>
      </c>
      <c r="E8" t="b">
        <v>1</v>
      </c>
      <c r="F8">
        <v>0</v>
      </c>
      <c r="G8">
        <f>IF(tblResults[[#This Row],[Left System]]=0,2881-tblResults[[#This Row],[Entered System]],tblResults[[#This Row],[Left System]]-tblResults[[#This Row],[Entered System]]+1)</f>
        <v>99</v>
      </c>
      <c r="H8" s="10">
        <f>tblResults[[#This Row],[Idle Time]]/tblResults[[#This Row],[Time in System]]</f>
        <v>0</v>
      </c>
      <c r="K8">
        <v>15</v>
      </c>
      <c r="L8">
        <v>4</v>
      </c>
      <c r="M8">
        <v>12</v>
      </c>
    </row>
    <row r="9" spans="1:13" x14ac:dyDescent="0.25">
      <c r="A9">
        <v>8</v>
      </c>
      <c r="B9">
        <v>89</v>
      </c>
      <c r="C9">
        <v>173</v>
      </c>
      <c r="D9">
        <v>-1</v>
      </c>
      <c r="E9" t="b">
        <v>1</v>
      </c>
      <c r="F9">
        <v>1</v>
      </c>
      <c r="G9">
        <f>IF(tblResults[[#This Row],[Left System]]=0,2881-tblResults[[#This Row],[Entered System]],tblResults[[#This Row],[Left System]]-tblResults[[#This Row],[Entered System]]+1)</f>
        <v>85</v>
      </c>
      <c r="H9" s="10">
        <f>tblResults[[#This Row],[Idle Time]]/tblResults[[#This Row],[Time in System]]</f>
        <v>1.1764705882352941E-2</v>
      </c>
      <c r="K9">
        <v>16</v>
      </c>
      <c r="L9">
        <v>5</v>
      </c>
      <c r="M9">
        <v>17</v>
      </c>
    </row>
    <row r="10" spans="1:13" x14ac:dyDescent="0.25">
      <c r="A10">
        <v>9</v>
      </c>
      <c r="B10">
        <v>97</v>
      </c>
      <c r="C10">
        <v>238</v>
      </c>
      <c r="D10">
        <v>-1</v>
      </c>
      <c r="E10" t="b">
        <v>1</v>
      </c>
      <c r="F10">
        <v>10</v>
      </c>
      <c r="G10">
        <f>IF(tblResults[[#This Row],[Left System]]=0,2881-tblResults[[#This Row],[Entered System]],tblResults[[#This Row],[Left System]]-tblResults[[#This Row],[Entered System]]+1)</f>
        <v>142</v>
      </c>
      <c r="H10" s="10">
        <f>tblResults[[#This Row],[Idle Time]]/tblResults[[#This Row],[Time in System]]</f>
        <v>7.0422535211267609E-2</v>
      </c>
      <c r="K10">
        <v>21</v>
      </c>
      <c r="L10">
        <v>3</v>
      </c>
      <c r="M10">
        <v>15</v>
      </c>
    </row>
    <row r="11" spans="1:13" x14ac:dyDescent="0.25">
      <c r="A11">
        <v>10</v>
      </c>
      <c r="B11">
        <v>113</v>
      </c>
      <c r="C11">
        <v>191</v>
      </c>
      <c r="D11">
        <v>-1</v>
      </c>
      <c r="E11" t="b">
        <v>1</v>
      </c>
      <c r="F11">
        <v>5</v>
      </c>
      <c r="G11">
        <f>IF(tblResults[[#This Row],[Left System]]=0,2881-tblResults[[#This Row],[Entered System]],tblResults[[#This Row],[Left System]]-tblResults[[#This Row],[Entered System]]+1)</f>
        <v>79</v>
      </c>
      <c r="H11" s="10">
        <f>tblResults[[#This Row],[Idle Time]]/tblResults[[#This Row],[Time in System]]</f>
        <v>6.3291139240506333E-2</v>
      </c>
      <c r="K11">
        <v>18</v>
      </c>
      <c r="L11">
        <v>5</v>
      </c>
      <c r="M11">
        <v>11</v>
      </c>
    </row>
    <row r="12" spans="1:13" x14ac:dyDescent="0.25">
      <c r="A12">
        <v>11</v>
      </c>
      <c r="B12">
        <v>124</v>
      </c>
      <c r="C12">
        <v>201</v>
      </c>
      <c r="D12">
        <v>-1</v>
      </c>
      <c r="E12" t="b">
        <v>1</v>
      </c>
      <c r="F12">
        <v>12</v>
      </c>
      <c r="G12">
        <f>IF(tblResults[[#This Row],[Left System]]=0,2881-tblResults[[#This Row],[Entered System]],tblResults[[#This Row],[Left System]]-tblResults[[#This Row],[Entered System]]+1)</f>
        <v>78</v>
      </c>
      <c r="H12" s="10">
        <f>tblResults[[#This Row],[Idle Time]]/tblResults[[#This Row],[Time in System]]</f>
        <v>0.15384615384615385</v>
      </c>
      <c r="K12">
        <v>25</v>
      </c>
      <c r="L12">
        <v>2</v>
      </c>
      <c r="M12">
        <v>14</v>
      </c>
    </row>
    <row r="13" spans="1:13" x14ac:dyDescent="0.25">
      <c r="A13">
        <v>12</v>
      </c>
      <c r="B13">
        <v>128</v>
      </c>
      <c r="C13">
        <v>243</v>
      </c>
      <c r="D13">
        <v>-1</v>
      </c>
      <c r="E13" t="b">
        <v>1</v>
      </c>
      <c r="F13">
        <v>30</v>
      </c>
      <c r="G13">
        <f>IF(tblResults[[#This Row],[Left System]]=0,2881-tblResults[[#This Row],[Entered System]],tblResults[[#This Row],[Left System]]-tblResults[[#This Row],[Entered System]]+1)</f>
        <v>116</v>
      </c>
      <c r="H13" s="10">
        <f>tblResults[[#This Row],[Idle Time]]/tblResults[[#This Row],[Time in System]]</f>
        <v>0.25862068965517243</v>
      </c>
      <c r="K13">
        <v>26</v>
      </c>
      <c r="L13">
        <v>2</v>
      </c>
      <c r="M13">
        <v>12</v>
      </c>
    </row>
    <row r="14" spans="1:13" x14ac:dyDescent="0.25">
      <c r="A14">
        <v>13</v>
      </c>
      <c r="B14">
        <v>138</v>
      </c>
      <c r="C14">
        <v>243</v>
      </c>
      <c r="D14">
        <v>-1</v>
      </c>
      <c r="E14" t="b">
        <v>1</v>
      </c>
      <c r="F14">
        <v>36</v>
      </c>
      <c r="G14">
        <f>IF(tblResults[[#This Row],[Left System]]=0,2881-tblResults[[#This Row],[Entered System]],tblResults[[#This Row],[Left System]]-tblResults[[#This Row],[Entered System]]+1)</f>
        <v>106</v>
      </c>
      <c r="H14" s="10">
        <f>tblResults[[#This Row],[Idle Time]]/tblResults[[#This Row],[Time in System]]</f>
        <v>0.33962264150943394</v>
      </c>
      <c r="K14">
        <v>27</v>
      </c>
      <c r="L14">
        <v>4</v>
      </c>
      <c r="M14">
        <v>12</v>
      </c>
    </row>
    <row r="15" spans="1:13" x14ac:dyDescent="0.25">
      <c r="A15">
        <v>14</v>
      </c>
      <c r="B15">
        <v>147</v>
      </c>
      <c r="C15">
        <v>259</v>
      </c>
      <c r="D15">
        <v>-1</v>
      </c>
      <c r="E15" t="b">
        <v>1</v>
      </c>
      <c r="F15">
        <v>32</v>
      </c>
      <c r="G15">
        <f>IF(tblResults[[#This Row],[Left System]]=0,2881-tblResults[[#This Row],[Entered System]],tblResults[[#This Row],[Left System]]-tblResults[[#This Row],[Entered System]]+1)</f>
        <v>113</v>
      </c>
      <c r="H15" s="10">
        <f>tblResults[[#This Row],[Idle Time]]/tblResults[[#This Row],[Time in System]]</f>
        <v>0.2831858407079646</v>
      </c>
      <c r="K15">
        <v>33</v>
      </c>
      <c r="L15">
        <v>2</v>
      </c>
      <c r="M15">
        <v>10</v>
      </c>
    </row>
    <row r="16" spans="1:13" x14ac:dyDescent="0.25">
      <c r="A16">
        <v>15</v>
      </c>
      <c r="B16">
        <v>161</v>
      </c>
      <c r="C16">
        <v>291</v>
      </c>
      <c r="D16">
        <v>-1</v>
      </c>
      <c r="E16" t="b">
        <v>1</v>
      </c>
      <c r="F16">
        <v>34</v>
      </c>
      <c r="G16">
        <f>IF(tblResults[[#This Row],[Left System]]=0,2881-tblResults[[#This Row],[Entered System]],tblResults[[#This Row],[Left System]]-tblResults[[#This Row],[Entered System]]+1)</f>
        <v>131</v>
      </c>
      <c r="H16" s="10">
        <f>tblResults[[#This Row],[Idle Time]]/tblResults[[#This Row],[Time in System]]</f>
        <v>0.25954198473282442</v>
      </c>
      <c r="K16">
        <v>28</v>
      </c>
      <c r="L16">
        <v>6</v>
      </c>
      <c r="M16">
        <v>6</v>
      </c>
    </row>
    <row r="17" spans="1:13" x14ac:dyDescent="0.25">
      <c r="A17">
        <v>16</v>
      </c>
      <c r="B17">
        <v>176</v>
      </c>
      <c r="C17">
        <v>313</v>
      </c>
      <c r="D17">
        <v>-1</v>
      </c>
      <c r="E17" t="b">
        <v>1</v>
      </c>
      <c r="F17">
        <v>45</v>
      </c>
      <c r="G17">
        <f>IF(tblResults[[#This Row],[Left System]]=0,2881-tblResults[[#This Row],[Entered System]],tblResults[[#This Row],[Left System]]-tblResults[[#This Row],[Entered System]]+1)</f>
        <v>138</v>
      </c>
      <c r="H17" s="10">
        <f>tblResults[[#This Row],[Idle Time]]/tblResults[[#This Row],[Time in System]]</f>
        <v>0.32608695652173914</v>
      </c>
      <c r="K17">
        <v>33</v>
      </c>
      <c r="L17">
        <v>4</v>
      </c>
      <c r="M17">
        <v>13</v>
      </c>
    </row>
    <row r="18" spans="1:13" x14ac:dyDescent="0.25">
      <c r="A18">
        <v>17</v>
      </c>
      <c r="B18">
        <v>187</v>
      </c>
      <c r="C18">
        <v>300</v>
      </c>
      <c r="D18">
        <v>-1</v>
      </c>
      <c r="E18" t="b">
        <v>1</v>
      </c>
      <c r="F18">
        <v>38</v>
      </c>
      <c r="G18">
        <f>IF(tblResults[[#This Row],[Left System]]=0,2881-tblResults[[#This Row],[Entered System]],tblResults[[#This Row],[Left System]]-tblResults[[#This Row],[Entered System]]+1)</f>
        <v>114</v>
      </c>
      <c r="H18" s="10">
        <f>tblResults[[#This Row],[Idle Time]]/tblResults[[#This Row],[Time in System]]</f>
        <v>0.33333333333333331</v>
      </c>
      <c r="K18">
        <v>49</v>
      </c>
      <c r="L18">
        <v>1</v>
      </c>
      <c r="M18">
        <v>23</v>
      </c>
    </row>
    <row r="19" spans="1:13" x14ac:dyDescent="0.25">
      <c r="A19">
        <v>18</v>
      </c>
      <c r="B19">
        <v>196</v>
      </c>
      <c r="C19">
        <v>322</v>
      </c>
      <c r="D19">
        <v>-1</v>
      </c>
      <c r="E19" t="b">
        <v>1</v>
      </c>
      <c r="F19">
        <v>44</v>
      </c>
      <c r="G19">
        <f>IF(tblResults[[#This Row],[Left System]]=0,2881-tblResults[[#This Row],[Entered System]],tblResults[[#This Row],[Left System]]-tblResults[[#This Row],[Entered System]]+1)</f>
        <v>127</v>
      </c>
      <c r="H19" s="10">
        <f>tblResults[[#This Row],[Idle Time]]/tblResults[[#This Row],[Time in System]]</f>
        <v>0.34645669291338582</v>
      </c>
      <c r="K19">
        <v>50</v>
      </c>
      <c r="L19">
        <v>1</v>
      </c>
      <c r="M19">
        <v>17</v>
      </c>
    </row>
    <row r="20" spans="1:13" x14ac:dyDescent="0.25">
      <c r="A20">
        <v>19</v>
      </c>
      <c r="B20">
        <v>201</v>
      </c>
      <c r="C20">
        <v>330</v>
      </c>
      <c r="D20">
        <v>-1</v>
      </c>
      <c r="E20" t="b">
        <v>1</v>
      </c>
      <c r="F20">
        <v>33</v>
      </c>
      <c r="G20">
        <f>IF(tblResults[[#This Row],[Left System]]=0,2881-tblResults[[#This Row],[Entered System]],tblResults[[#This Row],[Left System]]-tblResults[[#This Row],[Entered System]]+1)</f>
        <v>130</v>
      </c>
      <c r="H20" s="10">
        <f>tblResults[[#This Row],[Idle Time]]/tblResults[[#This Row],[Time in System]]</f>
        <v>0.25384615384615383</v>
      </c>
      <c r="K20">
        <v>48</v>
      </c>
      <c r="L20">
        <v>3</v>
      </c>
      <c r="M20">
        <v>13</v>
      </c>
    </row>
    <row r="21" spans="1:13" x14ac:dyDescent="0.25">
      <c r="A21">
        <v>20</v>
      </c>
      <c r="B21">
        <v>215</v>
      </c>
      <c r="C21">
        <v>338</v>
      </c>
      <c r="D21">
        <v>-1</v>
      </c>
      <c r="E21" t="b">
        <v>1</v>
      </c>
      <c r="F21">
        <v>53</v>
      </c>
      <c r="G21">
        <f>IF(tblResults[[#This Row],[Left System]]=0,2881-tblResults[[#This Row],[Entered System]],tblResults[[#This Row],[Left System]]-tblResults[[#This Row],[Entered System]]+1)</f>
        <v>124</v>
      </c>
      <c r="H21" s="10">
        <f>tblResults[[#This Row],[Idle Time]]/tblResults[[#This Row],[Time in System]]</f>
        <v>0.42741935483870969</v>
      </c>
      <c r="K21">
        <v>46</v>
      </c>
      <c r="L21">
        <v>4</v>
      </c>
      <c r="M21">
        <v>12</v>
      </c>
    </row>
    <row r="22" spans="1:13" x14ac:dyDescent="0.25">
      <c r="A22">
        <v>21</v>
      </c>
      <c r="B22">
        <v>226</v>
      </c>
      <c r="C22">
        <v>345</v>
      </c>
      <c r="D22">
        <v>-1</v>
      </c>
      <c r="E22" t="b">
        <v>1</v>
      </c>
      <c r="F22">
        <v>23</v>
      </c>
      <c r="G22">
        <f>IF(tblResults[[#This Row],[Left System]]=0,2881-tblResults[[#This Row],[Entered System]],tblResults[[#This Row],[Left System]]-tblResults[[#This Row],[Entered System]]+1)</f>
        <v>120</v>
      </c>
      <c r="H22" s="10">
        <f>tblResults[[#This Row],[Idle Time]]/tblResults[[#This Row],[Time in System]]</f>
        <v>0.19166666666666668</v>
      </c>
      <c r="K22">
        <v>49</v>
      </c>
      <c r="L22">
        <v>3</v>
      </c>
      <c r="M22">
        <v>17</v>
      </c>
    </row>
    <row r="23" spans="1:13" x14ac:dyDescent="0.25">
      <c r="A23">
        <v>22</v>
      </c>
      <c r="B23">
        <v>235</v>
      </c>
      <c r="C23">
        <v>359</v>
      </c>
      <c r="D23">
        <v>-1</v>
      </c>
      <c r="E23" t="b">
        <v>1</v>
      </c>
      <c r="F23">
        <v>26</v>
      </c>
      <c r="G23">
        <f>IF(tblResults[[#This Row],[Left System]]=0,2881-tblResults[[#This Row],[Entered System]],tblResults[[#This Row],[Left System]]-tblResults[[#This Row],[Entered System]]+1)</f>
        <v>125</v>
      </c>
      <c r="H23" s="10">
        <f>tblResults[[#This Row],[Idle Time]]/tblResults[[#This Row],[Time in System]]</f>
        <v>0.20799999999999999</v>
      </c>
      <c r="K23">
        <v>53</v>
      </c>
      <c r="L23">
        <v>1</v>
      </c>
      <c r="M23">
        <v>12</v>
      </c>
    </row>
    <row r="24" spans="1:13" x14ac:dyDescent="0.25">
      <c r="A24">
        <v>23</v>
      </c>
      <c r="B24">
        <v>245</v>
      </c>
      <c r="C24">
        <v>369</v>
      </c>
      <c r="D24">
        <v>-1</v>
      </c>
      <c r="E24" t="b">
        <v>1</v>
      </c>
      <c r="F24">
        <v>52</v>
      </c>
      <c r="G24">
        <f>IF(tblResults[[#This Row],[Left System]]=0,2881-tblResults[[#This Row],[Entered System]],tblResults[[#This Row],[Left System]]-tblResults[[#This Row],[Entered System]]+1)</f>
        <v>125</v>
      </c>
      <c r="H24" s="10">
        <f>tblResults[[#This Row],[Idle Time]]/tblResults[[#This Row],[Time in System]]</f>
        <v>0.41599999999999998</v>
      </c>
      <c r="K24">
        <v>56</v>
      </c>
      <c r="L24">
        <v>1</v>
      </c>
      <c r="M24">
        <v>16</v>
      </c>
    </row>
    <row r="25" spans="1:13" x14ac:dyDescent="0.25">
      <c r="A25">
        <v>24</v>
      </c>
      <c r="B25">
        <v>258</v>
      </c>
      <c r="C25">
        <v>390</v>
      </c>
      <c r="D25">
        <v>-1</v>
      </c>
      <c r="E25" t="b">
        <v>1</v>
      </c>
      <c r="F25">
        <v>58</v>
      </c>
      <c r="G25">
        <f>IF(tblResults[[#This Row],[Left System]]=0,2881-tblResults[[#This Row],[Entered System]],tblResults[[#This Row],[Left System]]-tblResults[[#This Row],[Entered System]]+1)</f>
        <v>133</v>
      </c>
      <c r="H25" s="10">
        <f>tblResults[[#This Row],[Idle Time]]/tblResults[[#This Row],[Time in System]]</f>
        <v>0.43609022556390975</v>
      </c>
      <c r="K25">
        <v>53</v>
      </c>
      <c r="L25">
        <v>3</v>
      </c>
      <c r="M25">
        <v>15</v>
      </c>
    </row>
    <row r="26" spans="1:13" x14ac:dyDescent="0.25">
      <c r="A26">
        <v>25</v>
      </c>
      <c r="B26">
        <v>270</v>
      </c>
      <c r="C26">
        <v>404</v>
      </c>
      <c r="D26">
        <v>-1</v>
      </c>
      <c r="E26" t="b">
        <v>1</v>
      </c>
      <c r="F26">
        <v>32</v>
      </c>
      <c r="G26">
        <f>IF(tblResults[[#This Row],[Left System]]=0,2881-tblResults[[#This Row],[Entered System]],tblResults[[#This Row],[Left System]]-tblResults[[#This Row],[Entered System]]+1)</f>
        <v>135</v>
      </c>
      <c r="H26" s="10">
        <f>tblResults[[#This Row],[Idle Time]]/tblResults[[#This Row],[Time in System]]</f>
        <v>0.23703703703703705</v>
      </c>
      <c r="K26">
        <v>58</v>
      </c>
      <c r="L26">
        <v>3</v>
      </c>
      <c r="M26">
        <v>17</v>
      </c>
    </row>
    <row r="27" spans="1:13" x14ac:dyDescent="0.25">
      <c r="A27">
        <v>26</v>
      </c>
      <c r="B27">
        <v>286</v>
      </c>
      <c r="C27">
        <v>404</v>
      </c>
      <c r="D27">
        <v>-1</v>
      </c>
      <c r="E27" t="b">
        <v>1</v>
      </c>
      <c r="F27">
        <v>26</v>
      </c>
      <c r="G27">
        <f>IF(tblResults[[#This Row],[Left System]]=0,2881-tblResults[[#This Row],[Entered System]],tblResults[[#This Row],[Left System]]-tblResults[[#This Row],[Entered System]]+1)</f>
        <v>119</v>
      </c>
      <c r="H27" s="10">
        <f>tblResults[[#This Row],[Idle Time]]/tblResults[[#This Row],[Time in System]]</f>
        <v>0.21848739495798319</v>
      </c>
      <c r="K27">
        <v>61</v>
      </c>
      <c r="L27">
        <v>2</v>
      </c>
      <c r="M27">
        <v>14</v>
      </c>
    </row>
    <row r="28" spans="1:13" x14ac:dyDescent="0.25">
      <c r="A28">
        <v>27</v>
      </c>
      <c r="B28">
        <v>300</v>
      </c>
      <c r="C28">
        <v>450</v>
      </c>
      <c r="D28">
        <v>-1</v>
      </c>
      <c r="E28" t="b">
        <v>1</v>
      </c>
      <c r="F28">
        <v>47</v>
      </c>
      <c r="G28">
        <f>IF(tblResults[[#This Row],[Left System]]=0,2881-tblResults[[#This Row],[Entered System]],tblResults[[#This Row],[Left System]]-tblResults[[#This Row],[Entered System]]+1)</f>
        <v>151</v>
      </c>
      <c r="H28" s="10">
        <f>tblResults[[#This Row],[Idle Time]]/tblResults[[#This Row],[Time in System]]</f>
        <v>0.31125827814569534</v>
      </c>
      <c r="K28">
        <v>59</v>
      </c>
      <c r="L28">
        <v>3</v>
      </c>
      <c r="M28">
        <v>21</v>
      </c>
    </row>
    <row r="29" spans="1:13" x14ac:dyDescent="0.25">
      <c r="A29">
        <v>28</v>
      </c>
      <c r="B29">
        <v>308</v>
      </c>
      <c r="C29">
        <v>436</v>
      </c>
      <c r="D29">
        <v>-1</v>
      </c>
      <c r="E29" t="b">
        <v>1</v>
      </c>
      <c r="F29">
        <v>39</v>
      </c>
      <c r="G29">
        <f>IF(tblResults[[#This Row],[Left System]]=0,2881-tblResults[[#This Row],[Entered System]],tblResults[[#This Row],[Left System]]-tblResults[[#This Row],[Entered System]]+1)</f>
        <v>129</v>
      </c>
      <c r="H29" s="10">
        <f>tblResults[[#This Row],[Idle Time]]/tblResults[[#This Row],[Time in System]]</f>
        <v>0.30232558139534882</v>
      </c>
      <c r="K29">
        <v>56</v>
      </c>
      <c r="L29">
        <v>5</v>
      </c>
      <c r="M29">
        <v>5</v>
      </c>
    </row>
    <row r="30" spans="1:13" x14ac:dyDescent="0.25">
      <c r="A30">
        <v>29</v>
      </c>
      <c r="B30">
        <v>315</v>
      </c>
      <c r="C30">
        <v>463</v>
      </c>
      <c r="D30">
        <v>-1</v>
      </c>
      <c r="E30" t="b">
        <v>1</v>
      </c>
      <c r="F30">
        <v>52</v>
      </c>
      <c r="G30">
        <f>IF(tblResults[[#This Row],[Left System]]=0,2881-tblResults[[#This Row],[Entered System]],tblResults[[#This Row],[Left System]]-tblResults[[#This Row],[Entered System]]+1)</f>
        <v>149</v>
      </c>
      <c r="H30" s="10">
        <f>tblResults[[#This Row],[Idle Time]]/tblResults[[#This Row],[Time in System]]</f>
        <v>0.34899328859060402</v>
      </c>
      <c r="K30">
        <v>63</v>
      </c>
      <c r="L30">
        <v>2</v>
      </c>
      <c r="M30">
        <v>10</v>
      </c>
    </row>
    <row r="31" spans="1:13" x14ac:dyDescent="0.25">
      <c r="A31">
        <v>30</v>
      </c>
      <c r="B31">
        <v>329</v>
      </c>
      <c r="C31">
        <v>484</v>
      </c>
      <c r="D31">
        <v>-1</v>
      </c>
      <c r="E31" t="b">
        <v>1</v>
      </c>
      <c r="F31">
        <v>66</v>
      </c>
      <c r="G31">
        <f>IF(tblResults[[#This Row],[Left System]]=0,2881-tblResults[[#This Row],[Entered System]],tblResults[[#This Row],[Left System]]-tblResults[[#This Row],[Entered System]]+1)</f>
        <v>156</v>
      </c>
      <c r="H31" s="10">
        <f>tblResults[[#This Row],[Idle Time]]/tblResults[[#This Row],[Time in System]]</f>
        <v>0.42307692307692307</v>
      </c>
      <c r="K31">
        <v>59</v>
      </c>
      <c r="L31">
        <v>4</v>
      </c>
      <c r="M31">
        <v>15</v>
      </c>
    </row>
    <row r="32" spans="1:13" x14ac:dyDescent="0.25">
      <c r="A32">
        <v>31</v>
      </c>
      <c r="B32">
        <v>342</v>
      </c>
      <c r="C32">
        <v>484</v>
      </c>
      <c r="D32">
        <v>-1</v>
      </c>
      <c r="E32" t="b">
        <v>1</v>
      </c>
      <c r="F32">
        <v>69</v>
      </c>
      <c r="G32">
        <f>IF(tblResults[[#This Row],[Left System]]=0,2881-tblResults[[#This Row],[Entered System]],tblResults[[#This Row],[Left System]]-tblResults[[#This Row],[Entered System]]+1)</f>
        <v>143</v>
      </c>
      <c r="H32" s="10">
        <f>tblResults[[#This Row],[Idle Time]]/tblResults[[#This Row],[Time in System]]</f>
        <v>0.4825174825174825</v>
      </c>
      <c r="K32">
        <v>60</v>
      </c>
      <c r="L32">
        <v>4</v>
      </c>
      <c r="M32">
        <v>12</v>
      </c>
    </row>
    <row r="33" spans="1:13" x14ac:dyDescent="0.25">
      <c r="A33">
        <v>32</v>
      </c>
      <c r="B33">
        <v>352</v>
      </c>
      <c r="C33">
        <v>499</v>
      </c>
      <c r="D33">
        <v>-1</v>
      </c>
      <c r="E33" t="b">
        <v>1</v>
      </c>
      <c r="F33">
        <v>64</v>
      </c>
      <c r="G33">
        <f>IF(tblResults[[#This Row],[Left System]]=0,2881-tblResults[[#This Row],[Entered System]],tblResults[[#This Row],[Left System]]-tblResults[[#This Row],[Entered System]]+1)</f>
        <v>148</v>
      </c>
      <c r="H33" s="10">
        <f>tblResults[[#This Row],[Idle Time]]/tblResults[[#This Row],[Time in System]]</f>
        <v>0.43243243243243246</v>
      </c>
      <c r="K33">
        <v>68</v>
      </c>
      <c r="L33">
        <v>6</v>
      </c>
      <c r="M33">
        <v>11</v>
      </c>
    </row>
    <row r="34" spans="1:13" x14ac:dyDescent="0.25">
      <c r="A34">
        <v>33</v>
      </c>
      <c r="B34">
        <v>367</v>
      </c>
      <c r="C34">
        <v>525</v>
      </c>
      <c r="D34">
        <v>-1</v>
      </c>
      <c r="E34" t="b">
        <v>1</v>
      </c>
      <c r="F34">
        <v>64</v>
      </c>
      <c r="G34">
        <f>IF(tblResults[[#This Row],[Left System]]=0,2881-tblResults[[#This Row],[Entered System]],tblResults[[#This Row],[Left System]]-tblResults[[#This Row],[Entered System]]+1)</f>
        <v>159</v>
      </c>
      <c r="H34" s="10">
        <f>tblResults[[#This Row],[Idle Time]]/tblResults[[#This Row],[Time in System]]</f>
        <v>0.40251572327044027</v>
      </c>
      <c r="K34">
        <v>70</v>
      </c>
      <c r="L34">
        <v>5</v>
      </c>
      <c r="M34">
        <v>7</v>
      </c>
    </row>
    <row r="35" spans="1:13" x14ac:dyDescent="0.25">
      <c r="A35">
        <v>34</v>
      </c>
      <c r="B35">
        <v>382</v>
      </c>
      <c r="C35">
        <v>533</v>
      </c>
      <c r="D35">
        <v>-1</v>
      </c>
      <c r="E35" t="b">
        <v>1</v>
      </c>
      <c r="F35">
        <v>68</v>
      </c>
      <c r="G35">
        <f>IF(tblResults[[#This Row],[Left System]]=0,2881-tblResults[[#This Row],[Entered System]],tblResults[[#This Row],[Left System]]-tblResults[[#This Row],[Entered System]]+1)</f>
        <v>152</v>
      </c>
      <c r="H35" s="10">
        <f>tblResults[[#This Row],[Idle Time]]/tblResults[[#This Row],[Time in System]]</f>
        <v>0.44736842105263158</v>
      </c>
      <c r="K35">
        <v>71</v>
      </c>
      <c r="L35">
        <v>5</v>
      </c>
      <c r="M35">
        <v>17</v>
      </c>
    </row>
    <row r="36" spans="1:13" x14ac:dyDescent="0.25">
      <c r="A36">
        <v>35</v>
      </c>
      <c r="B36">
        <v>403</v>
      </c>
      <c r="C36">
        <v>552</v>
      </c>
      <c r="D36">
        <v>-1</v>
      </c>
      <c r="E36" t="b">
        <v>1</v>
      </c>
      <c r="F36">
        <v>65</v>
      </c>
      <c r="G36">
        <f>IF(tblResults[[#This Row],[Left System]]=0,2881-tblResults[[#This Row],[Entered System]],tblResults[[#This Row],[Left System]]-tblResults[[#This Row],[Entered System]]+1)</f>
        <v>150</v>
      </c>
      <c r="H36" s="10">
        <f>tblResults[[#This Row],[Idle Time]]/tblResults[[#This Row],[Time in System]]</f>
        <v>0.43333333333333335</v>
      </c>
      <c r="K36">
        <v>80</v>
      </c>
      <c r="L36">
        <v>1</v>
      </c>
      <c r="M36">
        <v>27</v>
      </c>
    </row>
    <row r="37" spans="1:13" x14ac:dyDescent="0.25">
      <c r="A37">
        <v>36</v>
      </c>
      <c r="B37">
        <v>420</v>
      </c>
      <c r="C37">
        <v>569</v>
      </c>
      <c r="D37">
        <v>-1</v>
      </c>
      <c r="E37" t="b">
        <v>1</v>
      </c>
      <c r="F37">
        <v>53</v>
      </c>
      <c r="G37">
        <f>IF(tblResults[[#This Row],[Left System]]=0,2881-tblResults[[#This Row],[Entered System]],tblResults[[#This Row],[Left System]]-tblResults[[#This Row],[Entered System]]+1)</f>
        <v>150</v>
      </c>
      <c r="H37" s="10">
        <f>tblResults[[#This Row],[Idle Time]]/tblResults[[#This Row],[Time in System]]</f>
        <v>0.35333333333333333</v>
      </c>
      <c r="K37">
        <v>85</v>
      </c>
      <c r="L37">
        <v>3</v>
      </c>
      <c r="M37">
        <v>15</v>
      </c>
    </row>
    <row r="38" spans="1:13" x14ac:dyDescent="0.25">
      <c r="A38">
        <v>37</v>
      </c>
      <c r="B38">
        <v>437</v>
      </c>
      <c r="C38">
        <v>576</v>
      </c>
      <c r="D38">
        <v>-1</v>
      </c>
      <c r="E38" t="b">
        <v>1</v>
      </c>
      <c r="F38">
        <v>37</v>
      </c>
      <c r="G38">
        <f>IF(tblResults[[#This Row],[Left System]]=0,2881-tblResults[[#This Row],[Entered System]],tblResults[[#This Row],[Left System]]-tblResults[[#This Row],[Entered System]]+1)</f>
        <v>140</v>
      </c>
      <c r="H38" s="10">
        <f>tblResults[[#This Row],[Idle Time]]/tblResults[[#This Row],[Time in System]]</f>
        <v>0.26428571428571429</v>
      </c>
      <c r="K38">
        <v>101</v>
      </c>
      <c r="L38">
        <v>1</v>
      </c>
      <c r="M38">
        <v>19</v>
      </c>
    </row>
    <row r="39" spans="1:13" x14ac:dyDescent="0.25">
      <c r="A39">
        <v>38</v>
      </c>
      <c r="B39">
        <v>451</v>
      </c>
      <c r="C39">
        <v>579</v>
      </c>
      <c r="D39">
        <v>-1</v>
      </c>
      <c r="E39" t="b">
        <v>1</v>
      </c>
      <c r="F39">
        <v>54</v>
      </c>
      <c r="G39">
        <f>IF(tblResults[[#This Row],[Left System]]=0,2881-tblResults[[#This Row],[Entered System]],tblResults[[#This Row],[Left System]]-tblResults[[#This Row],[Entered System]]+1)</f>
        <v>129</v>
      </c>
      <c r="H39" s="10">
        <f>tblResults[[#This Row],[Idle Time]]/tblResults[[#This Row],[Time in System]]</f>
        <v>0.41860465116279072</v>
      </c>
      <c r="K39">
        <v>105</v>
      </c>
      <c r="L39">
        <v>2</v>
      </c>
      <c r="M39">
        <v>11</v>
      </c>
    </row>
    <row r="40" spans="1:13" x14ac:dyDescent="0.25">
      <c r="A40">
        <v>39</v>
      </c>
      <c r="B40">
        <v>460</v>
      </c>
      <c r="C40">
        <v>596</v>
      </c>
      <c r="D40">
        <v>-1</v>
      </c>
      <c r="E40" t="b">
        <v>1</v>
      </c>
      <c r="F40">
        <v>60</v>
      </c>
      <c r="G40">
        <f>IF(tblResults[[#This Row],[Left System]]=0,2881-tblResults[[#This Row],[Entered System]],tblResults[[#This Row],[Left System]]-tblResults[[#This Row],[Entered System]]+1)</f>
        <v>137</v>
      </c>
      <c r="H40" s="10">
        <f>tblResults[[#This Row],[Idle Time]]/tblResults[[#This Row],[Time in System]]</f>
        <v>0.43795620437956206</v>
      </c>
      <c r="K40">
        <v>107</v>
      </c>
      <c r="L40">
        <v>3</v>
      </c>
      <c r="M40">
        <v>11</v>
      </c>
    </row>
    <row r="41" spans="1:13" x14ac:dyDescent="0.25">
      <c r="A41">
        <v>40</v>
      </c>
      <c r="B41">
        <v>469</v>
      </c>
      <c r="C41">
        <v>610</v>
      </c>
      <c r="D41">
        <v>-1</v>
      </c>
      <c r="E41" t="b">
        <v>1</v>
      </c>
      <c r="F41">
        <v>55</v>
      </c>
      <c r="G41">
        <f>IF(tblResults[[#This Row],[Left System]]=0,2881-tblResults[[#This Row],[Entered System]],tblResults[[#This Row],[Left System]]-tblResults[[#This Row],[Entered System]]+1)</f>
        <v>142</v>
      </c>
      <c r="H41" s="10">
        <f>tblResults[[#This Row],[Idle Time]]/tblResults[[#This Row],[Time in System]]</f>
        <v>0.38732394366197181</v>
      </c>
      <c r="K41">
        <v>112</v>
      </c>
      <c r="L41">
        <v>3</v>
      </c>
      <c r="M41">
        <v>13</v>
      </c>
    </row>
    <row r="42" spans="1:13" x14ac:dyDescent="0.25">
      <c r="A42">
        <v>41</v>
      </c>
      <c r="B42">
        <v>478</v>
      </c>
      <c r="C42">
        <v>617</v>
      </c>
      <c r="D42">
        <v>-1</v>
      </c>
      <c r="E42" t="b">
        <v>1</v>
      </c>
      <c r="F42">
        <v>67</v>
      </c>
      <c r="G42">
        <f>IF(tblResults[[#This Row],[Left System]]=0,2881-tblResults[[#This Row],[Entered System]],tblResults[[#This Row],[Left System]]-tblResults[[#This Row],[Entered System]]+1)</f>
        <v>140</v>
      </c>
      <c r="H42" s="10">
        <f>tblResults[[#This Row],[Idle Time]]/tblResults[[#This Row],[Time in System]]</f>
        <v>0.47857142857142859</v>
      </c>
      <c r="K42">
        <v>115</v>
      </c>
      <c r="L42">
        <v>2</v>
      </c>
      <c r="M42">
        <v>10</v>
      </c>
    </row>
    <row r="43" spans="1:13" x14ac:dyDescent="0.25">
      <c r="A43">
        <v>42</v>
      </c>
      <c r="B43">
        <v>494</v>
      </c>
      <c r="C43">
        <v>643</v>
      </c>
      <c r="D43">
        <v>-1</v>
      </c>
      <c r="E43" t="b">
        <v>1</v>
      </c>
      <c r="F43">
        <v>60</v>
      </c>
      <c r="G43">
        <f>IF(tblResults[[#This Row],[Left System]]=0,2881-tblResults[[#This Row],[Entered System]],tblResults[[#This Row],[Left System]]-tblResults[[#This Row],[Entered System]]+1)</f>
        <v>150</v>
      </c>
      <c r="H43" s="10">
        <f>tblResults[[#This Row],[Idle Time]]/tblResults[[#This Row],[Time in System]]</f>
        <v>0.4</v>
      </c>
      <c r="K43">
        <v>117</v>
      </c>
      <c r="L43">
        <v>3</v>
      </c>
      <c r="M43">
        <v>7</v>
      </c>
    </row>
    <row r="44" spans="1:13" x14ac:dyDescent="0.25">
      <c r="A44">
        <v>43</v>
      </c>
      <c r="B44">
        <v>506</v>
      </c>
      <c r="C44">
        <v>643</v>
      </c>
      <c r="D44">
        <v>-1</v>
      </c>
      <c r="E44" t="b">
        <v>1</v>
      </c>
      <c r="F44">
        <v>67</v>
      </c>
      <c r="G44">
        <f>IF(tblResults[[#This Row],[Left System]]=0,2881-tblResults[[#This Row],[Entered System]],tblResults[[#This Row],[Left System]]-tblResults[[#This Row],[Entered System]]+1)</f>
        <v>138</v>
      </c>
      <c r="H44" s="10">
        <f>tblResults[[#This Row],[Idle Time]]/tblResults[[#This Row],[Time in System]]</f>
        <v>0.48550724637681159</v>
      </c>
      <c r="K44">
        <v>113</v>
      </c>
      <c r="L44">
        <v>4</v>
      </c>
      <c r="M44">
        <v>11</v>
      </c>
    </row>
    <row r="45" spans="1:13" x14ac:dyDescent="0.25">
      <c r="A45">
        <v>44</v>
      </c>
      <c r="B45">
        <v>518</v>
      </c>
      <c r="C45">
        <v>658</v>
      </c>
      <c r="D45">
        <v>-1</v>
      </c>
      <c r="E45" t="b">
        <v>1</v>
      </c>
      <c r="F45">
        <v>67</v>
      </c>
      <c r="G45">
        <f>IF(tblResults[[#This Row],[Left System]]=0,2881-tblResults[[#This Row],[Entered System]],tblResults[[#This Row],[Left System]]-tblResults[[#This Row],[Entered System]]+1)</f>
        <v>141</v>
      </c>
      <c r="H45" s="10">
        <f>tblResults[[#This Row],[Idle Time]]/tblResults[[#This Row],[Time in System]]</f>
        <v>0.47517730496453903</v>
      </c>
      <c r="K45">
        <v>119</v>
      </c>
      <c r="L45">
        <v>2</v>
      </c>
      <c r="M45">
        <v>10</v>
      </c>
    </row>
    <row r="46" spans="1:13" x14ac:dyDescent="0.25">
      <c r="A46">
        <v>45</v>
      </c>
      <c r="B46">
        <v>539</v>
      </c>
      <c r="C46">
        <v>671</v>
      </c>
      <c r="D46">
        <v>-1</v>
      </c>
      <c r="E46" t="b">
        <v>1</v>
      </c>
      <c r="F46">
        <v>52</v>
      </c>
      <c r="G46">
        <f>IF(tblResults[[#This Row],[Left System]]=0,2881-tblResults[[#This Row],[Entered System]],tblResults[[#This Row],[Left System]]-tblResults[[#This Row],[Entered System]]+1)</f>
        <v>133</v>
      </c>
      <c r="H46" s="10">
        <f>tblResults[[#This Row],[Idle Time]]/tblResults[[#This Row],[Time in System]]</f>
        <v>0.39097744360902253</v>
      </c>
      <c r="K46">
        <v>120</v>
      </c>
      <c r="L46">
        <v>4</v>
      </c>
      <c r="M46">
        <v>10</v>
      </c>
    </row>
    <row r="47" spans="1:13" x14ac:dyDescent="0.25">
      <c r="A47">
        <v>46</v>
      </c>
      <c r="B47">
        <v>555</v>
      </c>
      <c r="C47">
        <v>693</v>
      </c>
      <c r="D47">
        <v>-1</v>
      </c>
      <c r="E47" t="b">
        <v>1</v>
      </c>
      <c r="F47">
        <v>37</v>
      </c>
      <c r="G47">
        <f>IF(tblResults[[#This Row],[Left System]]=0,2881-tblResults[[#This Row],[Entered System]],tblResults[[#This Row],[Left System]]-tblResults[[#This Row],[Entered System]]+1)</f>
        <v>139</v>
      </c>
      <c r="H47" s="10">
        <f>tblResults[[#This Row],[Idle Time]]/tblResults[[#This Row],[Time in System]]</f>
        <v>0.26618705035971224</v>
      </c>
      <c r="K47">
        <v>126</v>
      </c>
      <c r="L47">
        <v>2</v>
      </c>
      <c r="M47">
        <v>15</v>
      </c>
    </row>
    <row r="48" spans="1:13" x14ac:dyDescent="0.25">
      <c r="A48">
        <v>47</v>
      </c>
      <c r="B48">
        <v>576</v>
      </c>
      <c r="C48">
        <v>711</v>
      </c>
      <c r="D48">
        <v>-1</v>
      </c>
      <c r="E48" t="b">
        <v>1</v>
      </c>
      <c r="F48">
        <v>41</v>
      </c>
      <c r="G48">
        <f>IF(tblResults[[#This Row],[Left System]]=0,2881-tblResults[[#This Row],[Entered System]],tblResults[[#This Row],[Left System]]-tblResults[[#This Row],[Entered System]]+1)</f>
        <v>136</v>
      </c>
      <c r="H48" s="10">
        <f>tblResults[[#This Row],[Idle Time]]/tblResults[[#This Row],[Time in System]]</f>
        <v>0.3014705882352941</v>
      </c>
      <c r="K48">
        <v>128</v>
      </c>
      <c r="L48">
        <v>3</v>
      </c>
      <c r="M48">
        <v>7</v>
      </c>
    </row>
    <row r="49" spans="1:13" x14ac:dyDescent="0.25">
      <c r="A49">
        <v>48</v>
      </c>
      <c r="B49">
        <v>586</v>
      </c>
      <c r="C49">
        <v>724</v>
      </c>
      <c r="D49">
        <v>-1</v>
      </c>
      <c r="E49" t="b">
        <v>1</v>
      </c>
      <c r="F49">
        <v>54</v>
      </c>
      <c r="G49">
        <f>IF(tblResults[[#This Row],[Left System]]=0,2881-tblResults[[#This Row],[Entered System]],tblResults[[#This Row],[Left System]]-tblResults[[#This Row],[Entered System]]+1)</f>
        <v>139</v>
      </c>
      <c r="H49" s="10">
        <f>tblResults[[#This Row],[Idle Time]]/tblResults[[#This Row],[Time in System]]</f>
        <v>0.38848920863309355</v>
      </c>
      <c r="K49">
        <v>122</v>
      </c>
      <c r="L49">
        <v>6</v>
      </c>
      <c r="M49">
        <v>6</v>
      </c>
    </row>
    <row r="50" spans="1:13" x14ac:dyDescent="0.25">
      <c r="A50">
        <v>49</v>
      </c>
      <c r="B50">
        <v>597</v>
      </c>
      <c r="C50">
        <v>744</v>
      </c>
      <c r="D50">
        <v>-1</v>
      </c>
      <c r="E50" t="b">
        <v>1</v>
      </c>
      <c r="F50">
        <v>18</v>
      </c>
      <c r="G50">
        <f>IF(tblResults[[#This Row],[Left System]]=0,2881-tblResults[[#This Row],[Entered System]],tblResults[[#This Row],[Left System]]-tblResults[[#This Row],[Entered System]]+1)</f>
        <v>148</v>
      </c>
      <c r="H50" s="10">
        <f>tblResults[[#This Row],[Idle Time]]/tblResults[[#This Row],[Time in System]]</f>
        <v>0.12162162162162163</v>
      </c>
      <c r="K50">
        <v>137</v>
      </c>
      <c r="L50">
        <v>1</v>
      </c>
      <c r="M50">
        <v>17</v>
      </c>
    </row>
    <row r="51" spans="1:13" x14ac:dyDescent="0.25">
      <c r="A51">
        <v>50</v>
      </c>
      <c r="B51">
        <v>607</v>
      </c>
      <c r="C51">
        <v>744</v>
      </c>
      <c r="D51">
        <v>-1</v>
      </c>
      <c r="E51" t="b">
        <v>1</v>
      </c>
      <c r="F51">
        <v>41</v>
      </c>
      <c r="G51">
        <f>IF(tblResults[[#This Row],[Left System]]=0,2881-tblResults[[#This Row],[Entered System]],tblResults[[#This Row],[Left System]]-tblResults[[#This Row],[Entered System]]+1)</f>
        <v>138</v>
      </c>
      <c r="H51" s="10">
        <f>tblResults[[#This Row],[Idle Time]]/tblResults[[#This Row],[Time in System]]</f>
        <v>0.29710144927536231</v>
      </c>
      <c r="K51">
        <v>136</v>
      </c>
      <c r="L51">
        <v>2</v>
      </c>
      <c r="M51">
        <v>20</v>
      </c>
    </row>
    <row r="52" spans="1:13" x14ac:dyDescent="0.25">
      <c r="A52">
        <v>51</v>
      </c>
      <c r="B52">
        <v>619</v>
      </c>
      <c r="C52">
        <v>755</v>
      </c>
      <c r="D52">
        <v>-1</v>
      </c>
      <c r="E52" t="b">
        <v>1</v>
      </c>
      <c r="F52">
        <v>57</v>
      </c>
      <c r="G52">
        <f>IF(tblResults[[#This Row],[Left System]]=0,2881-tblResults[[#This Row],[Entered System]],tblResults[[#This Row],[Left System]]-tblResults[[#This Row],[Entered System]]+1)</f>
        <v>137</v>
      </c>
      <c r="H52" s="10">
        <f>tblResults[[#This Row],[Idle Time]]/tblResults[[#This Row],[Time in System]]</f>
        <v>0.41605839416058393</v>
      </c>
      <c r="K52">
        <v>130</v>
      </c>
      <c r="L52">
        <v>5</v>
      </c>
      <c r="M52">
        <v>15</v>
      </c>
    </row>
    <row r="53" spans="1:13" x14ac:dyDescent="0.25">
      <c r="A53">
        <v>52</v>
      </c>
      <c r="B53">
        <v>632</v>
      </c>
      <c r="C53">
        <v>771</v>
      </c>
      <c r="D53">
        <v>-1</v>
      </c>
      <c r="E53" t="b">
        <v>1</v>
      </c>
      <c r="F53">
        <v>60</v>
      </c>
      <c r="G53">
        <f>IF(tblResults[[#This Row],[Left System]]=0,2881-tblResults[[#This Row],[Entered System]],tblResults[[#This Row],[Left System]]-tblResults[[#This Row],[Entered System]]+1)</f>
        <v>140</v>
      </c>
      <c r="H53" s="10">
        <f>tblResults[[#This Row],[Idle Time]]/tblResults[[#This Row],[Time in System]]</f>
        <v>0.42857142857142855</v>
      </c>
      <c r="K53">
        <v>130</v>
      </c>
      <c r="L53">
        <v>6</v>
      </c>
      <c r="M53">
        <v>8</v>
      </c>
    </row>
    <row r="54" spans="1:13" x14ac:dyDescent="0.25">
      <c r="A54">
        <v>53</v>
      </c>
      <c r="B54">
        <v>642</v>
      </c>
      <c r="C54">
        <v>1160</v>
      </c>
      <c r="D54">
        <v>-1</v>
      </c>
      <c r="E54" t="b">
        <v>1</v>
      </c>
      <c r="F54">
        <v>399</v>
      </c>
      <c r="G54">
        <f>IF(tblResults[[#This Row],[Left System]]=0,2881-tblResults[[#This Row],[Entered System]],tblResults[[#This Row],[Left System]]-tblResults[[#This Row],[Entered System]]+1)</f>
        <v>519</v>
      </c>
      <c r="H54" s="10">
        <f>tblResults[[#This Row],[Idle Time]]/tblResults[[#This Row],[Time in System]]</f>
        <v>0.76878612716763006</v>
      </c>
      <c r="K54">
        <v>144</v>
      </c>
      <c r="L54">
        <v>2</v>
      </c>
      <c r="M54">
        <v>9</v>
      </c>
    </row>
    <row r="55" spans="1:13" x14ac:dyDescent="0.25">
      <c r="A55">
        <v>54</v>
      </c>
      <c r="B55">
        <v>655</v>
      </c>
      <c r="C55">
        <v>780</v>
      </c>
      <c r="D55">
        <v>-1</v>
      </c>
      <c r="E55" t="b">
        <v>1</v>
      </c>
      <c r="F55">
        <v>51</v>
      </c>
      <c r="G55">
        <f>IF(tblResults[[#This Row],[Left System]]=0,2881-tblResults[[#This Row],[Entered System]],tblResults[[#This Row],[Left System]]-tblResults[[#This Row],[Entered System]]+1)</f>
        <v>126</v>
      </c>
      <c r="H55" s="10">
        <f>tblResults[[#This Row],[Idle Time]]/tblResults[[#This Row],[Time in System]]</f>
        <v>0.40476190476190477</v>
      </c>
      <c r="K55">
        <v>141</v>
      </c>
      <c r="L55">
        <v>5</v>
      </c>
      <c r="M55">
        <v>14</v>
      </c>
    </row>
    <row r="56" spans="1:13" x14ac:dyDescent="0.25">
      <c r="A56">
        <v>55</v>
      </c>
      <c r="B56">
        <v>660</v>
      </c>
      <c r="C56">
        <v>795</v>
      </c>
      <c r="D56">
        <v>-1</v>
      </c>
      <c r="E56" t="b">
        <v>1</v>
      </c>
      <c r="F56">
        <v>48</v>
      </c>
      <c r="G56">
        <f>IF(tblResults[[#This Row],[Left System]]=0,2881-tblResults[[#This Row],[Entered System]],tblResults[[#This Row],[Left System]]-tblResults[[#This Row],[Entered System]]+1)</f>
        <v>136</v>
      </c>
      <c r="H56" s="10">
        <f>tblResults[[#This Row],[Idle Time]]/tblResults[[#This Row],[Time in System]]</f>
        <v>0.35294117647058826</v>
      </c>
      <c r="K56">
        <v>145</v>
      </c>
      <c r="L56">
        <v>5</v>
      </c>
      <c r="M56">
        <v>13</v>
      </c>
    </row>
    <row r="57" spans="1:13" x14ac:dyDescent="0.25">
      <c r="A57">
        <v>56</v>
      </c>
      <c r="B57">
        <v>681</v>
      </c>
      <c r="C57">
        <v>810</v>
      </c>
      <c r="D57">
        <v>-1</v>
      </c>
      <c r="E57" t="b">
        <v>1</v>
      </c>
      <c r="F57">
        <v>43</v>
      </c>
      <c r="G57">
        <f>IF(tblResults[[#This Row],[Left System]]=0,2881-tblResults[[#This Row],[Entered System]],tblResults[[#This Row],[Left System]]-tblResults[[#This Row],[Entered System]]+1)</f>
        <v>130</v>
      </c>
      <c r="H57" s="10">
        <f>tblResults[[#This Row],[Idle Time]]/tblResults[[#This Row],[Time in System]]</f>
        <v>0.33076923076923076</v>
      </c>
      <c r="K57">
        <v>152</v>
      </c>
      <c r="L57">
        <v>2</v>
      </c>
      <c r="M57">
        <v>10</v>
      </c>
    </row>
    <row r="58" spans="1:13" x14ac:dyDescent="0.25">
      <c r="A58">
        <v>57</v>
      </c>
      <c r="B58">
        <v>693</v>
      </c>
      <c r="C58">
        <v>819</v>
      </c>
      <c r="D58">
        <v>-1</v>
      </c>
      <c r="E58" t="b">
        <v>1</v>
      </c>
      <c r="F58">
        <v>60</v>
      </c>
      <c r="G58">
        <f>IF(tblResults[[#This Row],[Left System]]=0,2881-tblResults[[#This Row],[Entered System]],tblResults[[#This Row],[Left System]]-tblResults[[#This Row],[Entered System]]+1)</f>
        <v>127</v>
      </c>
      <c r="H58" s="10">
        <f>tblResults[[#This Row],[Idle Time]]/tblResults[[#This Row],[Time in System]]</f>
        <v>0.47244094488188976</v>
      </c>
      <c r="K58">
        <v>152</v>
      </c>
      <c r="L58">
        <v>3</v>
      </c>
      <c r="M58">
        <v>14</v>
      </c>
    </row>
    <row r="59" spans="1:13" x14ac:dyDescent="0.25">
      <c r="A59">
        <v>58</v>
      </c>
      <c r="B59">
        <v>704</v>
      </c>
      <c r="C59">
        <v>830</v>
      </c>
      <c r="D59">
        <v>-1</v>
      </c>
      <c r="E59" t="b">
        <v>1</v>
      </c>
      <c r="F59">
        <v>33</v>
      </c>
      <c r="G59">
        <f>IF(tblResults[[#This Row],[Left System]]=0,2881-tblResults[[#This Row],[Entered System]],tblResults[[#This Row],[Left System]]-tblResults[[#This Row],[Entered System]]+1)</f>
        <v>127</v>
      </c>
      <c r="H59" s="10">
        <f>tblResults[[#This Row],[Idle Time]]/tblResults[[#This Row],[Time in System]]</f>
        <v>0.25984251968503935</v>
      </c>
      <c r="K59">
        <v>151</v>
      </c>
      <c r="L59">
        <v>6</v>
      </c>
      <c r="M59">
        <v>7</v>
      </c>
    </row>
    <row r="60" spans="1:13" x14ac:dyDescent="0.25">
      <c r="A60">
        <v>59</v>
      </c>
      <c r="B60">
        <v>715</v>
      </c>
      <c r="C60">
        <v>849</v>
      </c>
      <c r="D60">
        <v>-1</v>
      </c>
      <c r="E60" t="b">
        <v>1</v>
      </c>
      <c r="F60">
        <v>30</v>
      </c>
      <c r="G60">
        <f>IF(tblResults[[#This Row],[Left System]]=0,2881-tblResults[[#This Row],[Entered System]],tblResults[[#This Row],[Left System]]-tblResults[[#This Row],[Entered System]]+1)</f>
        <v>135</v>
      </c>
      <c r="H60" s="10">
        <f>tblResults[[#This Row],[Idle Time]]/tblResults[[#This Row],[Time in System]]</f>
        <v>0.22222222222222221</v>
      </c>
      <c r="K60">
        <v>158</v>
      </c>
      <c r="L60">
        <v>4</v>
      </c>
      <c r="M60">
        <v>6</v>
      </c>
    </row>
    <row r="61" spans="1:13" x14ac:dyDescent="0.25">
      <c r="A61">
        <v>60</v>
      </c>
      <c r="B61">
        <v>725</v>
      </c>
      <c r="C61">
        <v>867</v>
      </c>
      <c r="D61">
        <v>-1</v>
      </c>
      <c r="E61" t="b">
        <v>1</v>
      </c>
      <c r="F61">
        <v>79</v>
      </c>
      <c r="G61">
        <f>IF(tblResults[[#This Row],[Left System]]=0,2881-tblResults[[#This Row],[Entered System]],tblResults[[#This Row],[Left System]]-tblResults[[#This Row],[Entered System]]+1)</f>
        <v>143</v>
      </c>
      <c r="H61" s="10">
        <f>tblResults[[#This Row],[Idle Time]]/tblResults[[#This Row],[Time in System]]</f>
        <v>0.55244755244755239</v>
      </c>
      <c r="K61">
        <v>162</v>
      </c>
      <c r="L61">
        <v>3</v>
      </c>
      <c r="M61">
        <v>27</v>
      </c>
    </row>
    <row r="62" spans="1:13" x14ac:dyDescent="0.25">
      <c r="A62">
        <v>61</v>
      </c>
      <c r="B62">
        <v>742</v>
      </c>
      <c r="C62">
        <v>889</v>
      </c>
      <c r="D62">
        <v>-1</v>
      </c>
      <c r="E62" t="b">
        <v>1</v>
      </c>
      <c r="F62">
        <v>41</v>
      </c>
      <c r="G62">
        <f>IF(tblResults[[#This Row],[Left System]]=0,2881-tblResults[[#This Row],[Entered System]],tblResults[[#This Row],[Left System]]-tblResults[[#This Row],[Entered System]]+1)</f>
        <v>148</v>
      </c>
      <c r="H62" s="10">
        <f>tblResults[[#This Row],[Idle Time]]/tblResults[[#This Row],[Time in System]]</f>
        <v>0.27702702702702703</v>
      </c>
      <c r="K62">
        <v>164</v>
      </c>
      <c r="L62">
        <v>3</v>
      </c>
      <c r="M62">
        <v>17</v>
      </c>
    </row>
    <row r="63" spans="1:13" x14ac:dyDescent="0.25">
      <c r="A63">
        <v>62</v>
      </c>
      <c r="B63">
        <v>759</v>
      </c>
      <c r="C63">
        <v>897</v>
      </c>
      <c r="D63">
        <v>-1</v>
      </c>
      <c r="E63" t="b">
        <v>1</v>
      </c>
      <c r="F63">
        <v>55</v>
      </c>
      <c r="G63">
        <f>IF(tblResults[[#This Row],[Left System]]=0,2881-tblResults[[#This Row],[Entered System]],tblResults[[#This Row],[Left System]]-tblResults[[#This Row],[Entered System]]+1)</f>
        <v>139</v>
      </c>
      <c r="H63" s="10">
        <f>tblResults[[#This Row],[Idle Time]]/tblResults[[#This Row],[Time in System]]</f>
        <v>0.39568345323741005</v>
      </c>
      <c r="K63">
        <v>161</v>
      </c>
      <c r="L63">
        <v>5</v>
      </c>
      <c r="M63">
        <v>21</v>
      </c>
    </row>
    <row r="64" spans="1:13" x14ac:dyDescent="0.25">
      <c r="A64">
        <v>63</v>
      </c>
      <c r="B64">
        <v>771</v>
      </c>
      <c r="C64">
        <v>907</v>
      </c>
      <c r="D64">
        <v>-1</v>
      </c>
      <c r="E64" t="b">
        <v>1</v>
      </c>
      <c r="F64">
        <v>56</v>
      </c>
      <c r="G64">
        <f>IF(tblResults[[#This Row],[Left System]]=0,2881-tblResults[[#This Row],[Entered System]],tblResults[[#This Row],[Left System]]-tblResults[[#This Row],[Entered System]]+1)</f>
        <v>137</v>
      </c>
      <c r="H64" s="10">
        <f>tblResults[[#This Row],[Idle Time]]/tblResults[[#This Row],[Time in System]]</f>
        <v>0.40875912408759124</v>
      </c>
      <c r="K64">
        <v>167</v>
      </c>
      <c r="L64">
        <v>3</v>
      </c>
      <c r="M64">
        <v>16</v>
      </c>
    </row>
    <row r="65" spans="1:13" x14ac:dyDescent="0.25">
      <c r="A65">
        <v>64</v>
      </c>
      <c r="B65">
        <v>786</v>
      </c>
      <c r="C65">
        <v>916</v>
      </c>
      <c r="D65">
        <v>-1</v>
      </c>
      <c r="E65" t="b">
        <v>1</v>
      </c>
      <c r="F65">
        <v>51</v>
      </c>
      <c r="G65">
        <f>IF(tblResults[[#This Row],[Left System]]=0,2881-tblResults[[#This Row],[Entered System]],tblResults[[#This Row],[Left System]]-tblResults[[#This Row],[Entered System]]+1)</f>
        <v>131</v>
      </c>
      <c r="H65" s="10">
        <f>tblResults[[#This Row],[Idle Time]]/tblResults[[#This Row],[Time in System]]</f>
        <v>0.38931297709923662</v>
      </c>
      <c r="K65">
        <v>173</v>
      </c>
      <c r="L65">
        <v>1</v>
      </c>
      <c r="M65">
        <v>19</v>
      </c>
    </row>
    <row r="66" spans="1:13" x14ac:dyDescent="0.25">
      <c r="A66">
        <v>65</v>
      </c>
      <c r="B66">
        <v>796</v>
      </c>
      <c r="C66">
        <v>933</v>
      </c>
      <c r="D66">
        <v>-1</v>
      </c>
      <c r="E66" t="b">
        <v>1</v>
      </c>
      <c r="F66">
        <v>47</v>
      </c>
      <c r="G66">
        <f>IF(tblResults[[#This Row],[Left System]]=0,2881-tblResults[[#This Row],[Entered System]],tblResults[[#This Row],[Left System]]-tblResults[[#This Row],[Entered System]]+1)</f>
        <v>138</v>
      </c>
      <c r="H66" s="10">
        <f>tblResults[[#This Row],[Idle Time]]/tblResults[[#This Row],[Time in System]]</f>
        <v>0.34057971014492755</v>
      </c>
      <c r="K66">
        <v>165</v>
      </c>
      <c r="L66">
        <v>6</v>
      </c>
      <c r="M66">
        <v>5</v>
      </c>
    </row>
    <row r="67" spans="1:13" x14ac:dyDescent="0.25">
      <c r="A67">
        <v>66</v>
      </c>
      <c r="B67">
        <v>807</v>
      </c>
      <c r="C67">
        <v>946</v>
      </c>
      <c r="D67">
        <v>-1</v>
      </c>
      <c r="E67" t="b">
        <v>1</v>
      </c>
      <c r="F67">
        <v>61</v>
      </c>
      <c r="G67">
        <f>IF(tblResults[[#This Row],[Left System]]=0,2881-tblResults[[#This Row],[Entered System]],tblResults[[#This Row],[Left System]]-tblResults[[#This Row],[Entered System]]+1)</f>
        <v>140</v>
      </c>
      <c r="H67" s="10">
        <f>tblResults[[#This Row],[Idle Time]]/tblResults[[#This Row],[Time in System]]</f>
        <v>0.43571428571428572</v>
      </c>
      <c r="K67">
        <v>166</v>
      </c>
      <c r="L67">
        <v>6</v>
      </c>
      <c r="M67">
        <v>6</v>
      </c>
    </row>
    <row r="68" spans="1:13" x14ac:dyDescent="0.25">
      <c r="A68">
        <v>67</v>
      </c>
      <c r="B68">
        <v>827</v>
      </c>
      <c r="C68">
        <v>957</v>
      </c>
      <c r="D68">
        <v>-1</v>
      </c>
      <c r="E68" t="b">
        <v>1</v>
      </c>
      <c r="F68">
        <v>54</v>
      </c>
      <c r="G68">
        <f>IF(tblResults[[#This Row],[Left System]]=0,2881-tblResults[[#This Row],[Entered System]],tblResults[[#This Row],[Left System]]-tblResults[[#This Row],[Entered System]]+1)</f>
        <v>131</v>
      </c>
      <c r="H68" s="10">
        <f>tblResults[[#This Row],[Idle Time]]/tblResults[[#This Row],[Time in System]]</f>
        <v>0.41221374045801529</v>
      </c>
      <c r="K68">
        <v>171</v>
      </c>
      <c r="L68">
        <v>4</v>
      </c>
      <c r="M68">
        <v>12</v>
      </c>
    </row>
    <row r="69" spans="1:13" x14ac:dyDescent="0.25">
      <c r="A69">
        <v>68</v>
      </c>
      <c r="B69">
        <v>845</v>
      </c>
      <c r="C69">
        <v>983</v>
      </c>
      <c r="D69">
        <v>-1</v>
      </c>
      <c r="E69" t="b">
        <v>1</v>
      </c>
      <c r="F69">
        <v>62</v>
      </c>
      <c r="G69">
        <f>IF(tblResults[[#This Row],[Left System]]=0,2881-tblResults[[#This Row],[Entered System]],tblResults[[#This Row],[Left System]]-tblResults[[#This Row],[Entered System]]+1)</f>
        <v>139</v>
      </c>
      <c r="H69" s="10">
        <f>tblResults[[#This Row],[Idle Time]]/tblResults[[#This Row],[Time in System]]</f>
        <v>0.4460431654676259</v>
      </c>
      <c r="K69">
        <v>173</v>
      </c>
      <c r="L69">
        <v>6</v>
      </c>
      <c r="M69">
        <v>9</v>
      </c>
    </row>
    <row r="70" spans="1:13" x14ac:dyDescent="0.25">
      <c r="A70">
        <v>69</v>
      </c>
      <c r="B70">
        <v>862</v>
      </c>
      <c r="C70">
        <v>981</v>
      </c>
      <c r="D70">
        <v>-1</v>
      </c>
      <c r="E70" t="b">
        <v>1</v>
      </c>
      <c r="F70">
        <v>39</v>
      </c>
      <c r="G70">
        <f>IF(tblResults[[#This Row],[Left System]]=0,2881-tblResults[[#This Row],[Entered System]],tblResults[[#This Row],[Left System]]-tblResults[[#This Row],[Entered System]]+1)</f>
        <v>120</v>
      </c>
      <c r="H70" s="10">
        <f>tblResults[[#This Row],[Idle Time]]/tblResults[[#This Row],[Time in System]]</f>
        <v>0.32500000000000001</v>
      </c>
      <c r="K70">
        <v>174</v>
      </c>
      <c r="L70">
        <v>5</v>
      </c>
      <c r="M70">
        <v>13</v>
      </c>
    </row>
    <row r="71" spans="1:13" x14ac:dyDescent="0.25">
      <c r="A71">
        <v>70</v>
      </c>
      <c r="B71">
        <v>872</v>
      </c>
      <c r="C71">
        <v>995</v>
      </c>
      <c r="D71">
        <v>-1</v>
      </c>
      <c r="E71" t="b">
        <v>1</v>
      </c>
      <c r="F71">
        <v>22</v>
      </c>
      <c r="G71">
        <f>IF(tblResults[[#This Row],[Left System]]=0,2881-tblResults[[#This Row],[Entered System]],tblResults[[#This Row],[Left System]]-tblResults[[#This Row],[Entered System]]+1)</f>
        <v>124</v>
      </c>
      <c r="H71" s="10">
        <f>tblResults[[#This Row],[Idle Time]]/tblResults[[#This Row],[Time in System]]</f>
        <v>0.17741935483870969</v>
      </c>
      <c r="K71">
        <v>178</v>
      </c>
      <c r="L71">
        <v>4</v>
      </c>
      <c r="M71">
        <v>11</v>
      </c>
    </row>
    <row r="72" spans="1:13" x14ac:dyDescent="0.25">
      <c r="A72">
        <v>71</v>
      </c>
      <c r="B72">
        <v>887</v>
      </c>
      <c r="C72">
        <v>1029</v>
      </c>
      <c r="D72">
        <v>-1</v>
      </c>
      <c r="E72" t="b">
        <v>1</v>
      </c>
      <c r="F72">
        <v>33</v>
      </c>
      <c r="G72">
        <f>IF(tblResults[[#This Row],[Left System]]=0,2881-tblResults[[#This Row],[Entered System]],tblResults[[#This Row],[Left System]]-tblResults[[#This Row],[Entered System]]+1)</f>
        <v>143</v>
      </c>
      <c r="H72" s="10">
        <f>tblResults[[#This Row],[Idle Time]]/tblResults[[#This Row],[Time in System]]</f>
        <v>0.23076923076923078</v>
      </c>
      <c r="K72">
        <v>188</v>
      </c>
      <c r="L72">
        <v>1</v>
      </c>
      <c r="M72">
        <v>13</v>
      </c>
    </row>
    <row r="73" spans="1:13" x14ac:dyDescent="0.25">
      <c r="A73">
        <v>72</v>
      </c>
      <c r="B73">
        <v>897</v>
      </c>
      <c r="C73">
        <v>1011</v>
      </c>
      <c r="D73">
        <v>-1</v>
      </c>
      <c r="E73" t="b">
        <v>1</v>
      </c>
      <c r="F73">
        <v>28</v>
      </c>
      <c r="G73">
        <f>IF(tblResults[[#This Row],[Left System]]=0,2881-tblResults[[#This Row],[Entered System]],tblResults[[#This Row],[Left System]]-tblResults[[#This Row],[Entered System]]+1)</f>
        <v>115</v>
      </c>
      <c r="H73" s="10">
        <f>tblResults[[#This Row],[Idle Time]]/tblResults[[#This Row],[Time in System]]</f>
        <v>0.24347826086956523</v>
      </c>
      <c r="K73">
        <v>191</v>
      </c>
      <c r="L73">
        <v>1</v>
      </c>
      <c r="M73">
        <v>18</v>
      </c>
    </row>
    <row r="74" spans="1:13" x14ac:dyDescent="0.25">
      <c r="A74">
        <v>73</v>
      </c>
      <c r="B74">
        <v>918</v>
      </c>
      <c r="C74">
        <v>1038</v>
      </c>
      <c r="D74">
        <v>-1</v>
      </c>
      <c r="E74" t="b">
        <v>1</v>
      </c>
      <c r="F74">
        <v>31</v>
      </c>
      <c r="G74">
        <f>IF(tblResults[[#This Row],[Left System]]=0,2881-tblResults[[#This Row],[Entered System]],tblResults[[#This Row],[Left System]]-tblResults[[#This Row],[Entered System]]+1)</f>
        <v>121</v>
      </c>
      <c r="H74" s="10">
        <f>tblResults[[#This Row],[Idle Time]]/tblResults[[#This Row],[Time in System]]</f>
        <v>0.256198347107438</v>
      </c>
      <c r="K74">
        <v>181</v>
      </c>
      <c r="L74">
        <v>6</v>
      </c>
      <c r="M74">
        <v>8</v>
      </c>
    </row>
    <row r="75" spans="1:13" x14ac:dyDescent="0.25">
      <c r="A75">
        <v>74</v>
      </c>
      <c r="B75">
        <v>925</v>
      </c>
      <c r="C75">
        <v>1047</v>
      </c>
      <c r="D75">
        <v>-1</v>
      </c>
      <c r="E75" t="b">
        <v>1</v>
      </c>
      <c r="F75">
        <v>40</v>
      </c>
      <c r="G75">
        <f>IF(tblResults[[#This Row],[Left System]]=0,2881-tblResults[[#This Row],[Entered System]],tblResults[[#This Row],[Left System]]-tblResults[[#This Row],[Entered System]]+1)</f>
        <v>123</v>
      </c>
      <c r="H75" s="10">
        <f>tblResults[[#This Row],[Idle Time]]/tblResults[[#This Row],[Time in System]]</f>
        <v>0.32520325203252032</v>
      </c>
      <c r="K75">
        <v>191</v>
      </c>
      <c r="L75">
        <v>2</v>
      </c>
      <c r="M75">
        <v>12</v>
      </c>
    </row>
    <row r="76" spans="1:13" x14ac:dyDescent="0.25">
      <c r="A76">
        <v>75</v>
      </c>
      <c r="B76">
        <v>942</v>
      </c>
      <c r="C76">
        <v>1055</v>
      </c>
      <c r="D76">
        <v>-1</v>
      </c>
      <c r="E76" t="b">
        <v>1</v>
      </c>
      <c r="F76">
        <v>41</v>
      </c>
      <c r="G76">
        <f>IF(tblResults[[#This Row],[Left System]]=0,2881-tblResults[[#This Row],[Entered System]],tblResults[[#This Row],[Left System]]-tblResults[[#This Row],[Entered System]]+1)</f>
        <v>114</v>
      </c>
      <c r="H76" s="10">
        <f>tblResults[[#This Row],[Idle Time]]/tblResults[[#This Row],[Time in System]]</f>
        <v>0.35964912280701755</v>
      </c>
      <c r="K76">
        <v>192</v>
      </c>
      <c r="L76">
        <v>3</v>
      </c>
      <c r="M76">
        <v>17</v>
      </c>
    </row>
    <row r="77" spans="1:13" x14ac:dyDescent="0.25">
      <c r="A77">
        <v>76</v>
      </c>
      <c r="B77">
        <v>955</v>
      </c>
      <c r="C77">
        <v>1069</v>
      </c>
      <c r="D77">
        <v>-1</v>
      </c>
      <c r="E77" t="b">
        <v>1</v>
      </c>
      <c r="F77">
        <v>19</v>
      </c>
      <c r="G77">
        <f>IF(tblResults[[#This Row],[Left System]]=0,2881-tblResults[[#This Row],[Entered System]],tblResults[[#This Row],[Left System]]-tblResults[[#This Row],[Entered System]]+1)</f>
        <v>115</v>
      </c>
      <c r="H77" s="10">
        <f>tblResults[[#This Row],[Idle Time]]/tblResults[[#This Row],[Time in System]]</f>
        <v>0.16521739130434782</v>
      </c>
      <c r="K77">
        <v>187</v>
      </c>
      <c r="L77">
        <v>6</v>
      </c>
      <c r="M77">
        <v>11</v>
      </c>
    </row>
    <row r="78" spans="1:13" x14ac:dyDescent="0.25">
      <c r="A78">
        <v>77</v>
      </c>
      <c r="B78">
        <v>965</v>
      </c>
      <c r="C78">
        <v>1089</v>
      </c>
      <c r="D78">
        <v>-1</v>
      </c>
      <c r="E78" t="b">
        <v>1</v>
      </c>
      <c r="F78">
        <v>37</v>
      </c>
      <c r="G78">
        <f>IF(tblResults[[#This Row],[Left System]]=0,2881-tblResults[[#This Row],[Entered System]],tblResults[[#This Row],[Left System]]-tblResults[[#This Row],[Entered System]]+1)</f>
        <v>125</v>
      </c>
      <c r="H78" s="10">
        <f>tblResults[[#This Row],[Idle Time]]/tblResults[[#This Row],[Time in System]]</f>
        <v>0.29599999999999999</v>
      </c>
      <c r="K78">
        <v>197</v>
      </c>
      <c r="L78">
        <v>2</v>
      </c>
      <c r="M78">
        <v>8</v>
      </c>
    </row>
    <row r="79" spans="1:13" x14ac:dyDescent="0.25">
      <c r="A79">
        <v>78</v>
      </c>
      <c r="B79">
        <v>978</v>
      </c>
      <c r="C79">
        <v>1087</v>
      </c>
      <c r="D79">
        <v>-1</v>
      </c>
      <c r="E79" t="b">
        <v>1</v>
      </c>
      <c r="F79">
        <v>24</v>
      </c>
      <c r="G79">
        <f>IF(tblResults[[#This Row],[Left System]]=0,2881-tblResults[[#This Row],[Entered System]],tblResults[[#This Row],[Left System]]-tblResults[[#This Row],[Entered System]]+1)</f>
        <v>110</v>
      </c>
      <c r="H79" s="10">
        <f>tblResults[[#This Row],[Idle Time]]/tblResults[[#This Row],[Time in System]]</f>
        <v>0.21818181818181817</v>
      </c>
      <c r="K79">
        <v>202</v>
      </c>
      <c r="L79">
        <v>2</v>
      </c>
      <c r="M79">
        <v>11</v>
      </c>
    </row>
    <row r="80" spans="1:13" x14ac:dyDescent="0.25">
      <c r="A80">
        <v>79</v>
      </c>
      <c r="B80">
        <v>987</v>
      </c>
      <c r="C80">
        <v>1101</v>
      </c>
      <c r="D80">
        <v>-1</v>
      </c>
      <c r="E80" t="b">
        <v>1</v>
      </c>
      <c r="F80">
        <v>40</v>
      </c>
      <c r="G80">
        <f>IF(tblResults[[#This Row],[Left System]]=0,2881-tblResults[[#This Row],[Entered System]],tblResults[[#This Row],[Left System]]-tblResults[[#This Row],[Entered System]]+1)</f>
        <v>115</v>
      </c>
      <c r="H80" s="10">
        <f>tblResults[[#This Row],[Idle Time]]/tblResults[[#This Row],[Time in System]]</f>
        <v>0.34782608695652173</v>
      </c>
      <c r="K80">
        <v>197</v>
      </c>
      <c r="L80">
        <v>5</v>
      </c>
      <c r="M80">
        <v>22</v>
      </c>
    </row>
    <row r="81" spans="1:13" x14ac:dyDescent="0.25">
      <c r="A81">
        <v>80</v>
      </c>
      <c r="B81">
        <v>995</v>
      </c>
      <c r="C81">
        <v>1170</v>
      </c>
      <c r="D81">
        <v>-1</v>
      </c>
      <c r="E81" t="b">
        <v>1</v>
      </c>
      <c r="F81">
        <v>69</v>
      </c>
      <c r="G81">
        <f>IF(tblResults[[#This Row],[Left System]]=0,2881-tblResults[[#This Row],[Entered System]],tblResults[[#This Row],[Left System]]-tblResults[[#This Row],[Entered System]]+1)</f>
        <v>176</v>
      </c>
      <c r="H81" s="10">
        <f>tblResults[[#This Row],[Idle Time]]/tblResults[[#This Row],[Time in System]]</f>
        <v>0.39204545454545453</v>
      </c>
      <c r="K81">
        <v>206</v>
      </c>
      <c r="L81">
        <v>1</v>
      </c>
      <c r="M81">
        <v>22</v>
      </c>
    </row>
    <row r="82" spans="1:13" x14ac:dyDescent="0.25">
      <c r="A82">
        <v>81</v>
      </c>
      <c r="B82">
        <v>1012</v>
      </c>
      <c r="C82">
        <v>1108</v>
      </c>
      <c r="D82">
        <v>-1</v>
      </c>
      <c r="E82" t="b">
        <v>1</v>
      </c>
      <c r="F82">
        <v>8</v>
      </c>
      <c r="G82">
        <f>IF(tblResults[[#This Row],[Left System]]=0,2881-tblResults[[#This Row],[Entered System]],tblResults[[#This Row],[Left System]]-tblResults[[#This Row],[Entered System]]+1)</f>
        <v>97</v>
      </c>
      <c r="H82" s="10">
        <f>tblResults[[#This Row],[Idle Time]]/tblResults[[#This Row],[Time in System]]</f>
        <v>8.247422680412371E-2</v>
      </c>
      <c r="K82">
        <v>205</v>
      </c>
      <c r="L82">
        <v>2</v>
      </c>
      <c r="M82">
        <v>10</v>
      </c>
    </row>
    <row r="83" spans="1:13" x14ac:dyDescent="0.25">
      <c r="A83">
        <v>82</v>
      </c>
      <c r="B83">
        <v>1020</v>
      </c>
      <c r="C83">
        <v>1122</v>
      </c>
      <c r="D83">
        <v>-1</v>
      </c>
      <c r="E83" t="b">
        <v>1</v>
      </c>
      <c r="F83">
        <v>21</v>
      </c>
      <c r="G83">
        <f>IF(tblResults[[#This Row],[Left System]]=0,2881-tblResults[[#This Row],[Entered System]],tblResults[[#This Row],[Left System]]-tblResults[[#This Row],[Entered System]]+1)</f>
        <v>103</v>
      </c>
      <c r="H83" s="10">
        <f>tblResults[[#This Row],[Idle Time]]/tblResults[[#This Row],[Time in System]]</f>
        <v>0.20388349514563106</v>
      </c>
      <c r="K83">
        <v>197</v>
      </c>
      <c r="L83">
        <v>6</v>
      </c>
      <c r="M83">
        <v>10</v>
      </c>
    </row>
    <row r="84" spans="1:13" x14ac:dyDescent="0.25">
      <c r="A84">
        <v>83</v>
      </c>
      <c r="B84">
        <v>1034</v>
      </c>
      <c r="C84">
        <v>1140</v>
      </c>
      <c r="D84">
        <v>-1</v>
      </c>
      <c r="E84" t="b">
        <v>1</v>
      </c>
      <c r="F84">
        <v>22</v>
      </c>
      <c r="G84">
        <f>IF(tblResults[[#This Row],[Left System]]=0,2881-tblResults[[#This Row],[Entered System]],tblResults[[#This Row],[Left System]]-tblResults[[#This Row],[Entered System]]+1)</f>
        <v>107</v>
      </c>
      <c r="H84" s="10">
        <f>tblResults[[#This Row],[Idle Time]]/tblResults[[#This Row],[Time in System]]</f>
        <v>0.20560747663551401</v>
      </c>
      <c r="K84">
        <v>211</v>
      </c>
      <c r="L84">
        <v>1</v>
      </c>
      <c r="M84">
        <v>21</v>
      </c>
    </row>
    <row r="85" spans="1:13" x14ac:dyDescent="0.25">
      <c r="A85">
        <v>84</v>
      </c>
      <c r="B85">
        <v>1050</v>
      </c>
      <c r="C85">
        <v>1144</v>
      </c>
      <c r="D85">
        <v>-1</v>
      </c>
      <c r="E85" t="b">
        <v>1</v>
      </c>
      <c r="F85">
        <v>12</v>
      </c>
      <c r="G85">
        <f>IF(tblResults[[#This Row],[Left System]]=0,2881-tblResults[[#This Row],[Entered System]],tblResults[[#This Row],[Left System]]-tblResults[[#This Row],[Entered System]]+1)</f>
        <v>95</v>
      </c>
      <c r="H85" s="10">
        <f>tblResults[[#This Row],[Idle Time]]/tblResults[[#This Row],[Time in System]]</f>
        <v>0.12631578947368421</v>
      </c>
      <c r="K85">
        <v>206</v>
      </c>
      <c r="L85">
        <v>4</v>
      </c>
      <c r="M85">
        <v>14</v>
      </c>
    </row>
    <row r="86" spans="1:13" x14ac:dyDescent="0.25">
      <c r="A86">
        <v>85</v>
      </c>
      <c r="B86">
        <v>1067</v>
      </c>
      <c r="C86">
        <v>1181</v>
      </c>
      <c r="D86">
        <v>-1</v>
      </c>
      <c r="E86" t="b">
        <v>1</v>
      </c>
      <c r="F86">
        <v>25</v>
      </c>
      <c r="G86">
        <f>IF(tblResults[[#This Row],[Left System]]=0,2881-tblResults[[#This Row],[Entered System]],tblResults[[#This Row],[Left System]]-tblResults[[#This Row],[Entered System]]+1)</f>
        <v>115</v>
      </c>
      <c r="H86" s="10">
        <f>tblResults[[#This Row],[Idle Time]]/tblResults[[#This Row],[Time in System]]</f>
        <v>0.21739130434782608</v>
      </c>
      <c r="K86">
        <v>211</v>
      </c>
      <c r="L86">
        <v>3</v>
      </c>
      <c r="M86">
        <v>18</v>
      </c>
    </row>
    <row r="87" spans="1:13" x14ac:dyDescent="0.25">
      <c r="A87">
        <v>86</v>
      </c>
      <c r="B87">
        <v>1073</v>
      </c>
      <c r="C87">
        <v>1191</v>
      </c>
      <c r="D87">
        <v>-1</v>
      </c>
      <c r="E87" t="b">
        <v>1</v>
      </c>
      <c r="F87">
        <v>39</v>
      </c>
      <c r="G87">
        <f>IF(tblResults[[#This Row],[Left System]]=0,2881-tblResults[[#This Row],[Entered System]],tblResults[[#This Row],[Left System]]-tblResults[[#This Row],[Entered System]]+1)</f>
        <v>119</v>
      </c>
      <c r="H87" s="10">
        <f>tblResults[[#This Row],[Idle Time]]/tblResults[[#This Row],[Time in System]]</f>
        <v>0.32773109243697479</v>
      </c>
      <c r="K87">
        <v>215</v>
      </c>
      <c r="L87">
        <v>2</v>
      </c>
      <c r="M87">
        <v>9</v>
      </c>
    </row>
    <row r="88" spans="1:13" x14ac:dyDescent="0.25">
      <c r="A88">
        <v>87</v>
      </c>
      <c r="B88">
        <v>1085</v>
      </c>
      <c r="C88">
        <v>1203</v>
      </c>
      <c r="D88">
        <v>-1</v>
      </c>
      <c r="E88" t="b">
        <v>1</v>
      </c>
      <c r="F88">
        <v>49</v>
      </c>
      <c r="G88">
        <f>IF(tblResults[[#This Row],[Left System]]=0,2881-tblResults[[#This Row],[Entered System]],tblResults[[#This Row],[Left System]]-tblResults[[#This Row],[Entered System]]+1)</f>
        <v>119</v>
      </c>
      <c r="H88" s="10">
        <f>tblResults[[#This Row],[Idle Time]]/tblResults[[#This Row],[Time in System]]</f>
        <v>0.41176470588235292</v>
      </c>
      <c r="K88">
        <v>212</v>
      </c>
      <c r="L88">
        <v>4</v>
      </c>
      <c r="M88">
        <v>10</v>
      </c>
    </row>
    <row r="89" spans="1:13" x14ac:dyDescent="0.25">
      <c r="A89">
        <v>88</v>
      </c>
      <c r="B89">
        <v>1093</v>
      </c>
      <c r="C89">
        <v>1217</v>
      </c>
      <c r="D89">
        <v>-1</v>
      </c>
      <c r="E89" t="b">
        <v>1</v>
      </c>
      <c r="F89">
        <v>23</v>
      </c>
      <c r="G89">
        <f>IF(tblResults[[#This Row],[Left System]]=0,2881-tblResults[[#This Row],[Entered System]],tblResults[[#This Row],[Left System]]-tblResults[[#This Row],[Entered System]]+1)</f>
        <v>125</v>
      </c>
      <c r="H89" s="10">
        <f>tblResults[[#This Row],[Idle Time]]/tblResults[[#This Row],[Time in System]]</f>
        <v>0.184</v>
      </c>
      <c r="K89">
        <v>214</v>
      </c>
      <c r="L89">
        <v>4</v>
      </c>
      <c r="M89">
        <v>16</v>
      </c>
    </row>
    <row r="90" spans="1:13" x14ac:dyDescent="0.25">
      <c r="A90">
        <v>89</v>
      </c>
      <c r="B90">
        <v>1106</v>
      </c>
      <c r="C90">
        <v>1224</v>
      </c>
      <c r="D90">
        <v>-1</v>
      </c>
      <c r="E90" t="b">
        <v>1</v>
      </c>
      <c r="F90">
        <v>46</v>
      </c>
      <c r="G90">
        <f>IF(tblResults[[#This Row],[Left System]]=0,2881-tblResults[[#This Row],[Entered System]],tblResults[[#This Row],[Left System]]-tblResults[[#This Row],[Entered System]]+1)</f>
        <v>119</v>
      </c>
      <c r="H90" s="10">
        <f>tblResults[[#This Row],[Idle Time]]/tblResults[[#This Row],[Time in System]]</f>
        <v>0.38655462184873951</v>
      </c>
      <c r="K90">
        <v>216</v>
      </c>
      <c r="L90">
        <v>4</v>
      </c>
      <c r="M90">
        <v>17</v>
      </c>
    </row>
    <row r="91" spans="1:13" x14ac:dyDescent="0.25">
      <c r="A91">
        <v>90</v>
      </c>
      <c r="B91">
        <v>1120</v>
      </c>
      <c r="C91">
        <v>1238</v>
      </c>
      <c r="D91">
        <v>-1</v>
      </c>
      <c r="E91" t="b">
        <v>1</v>
      </c>
      <c r="F91">
        <v>25</v>
      </c>
      <c r="G91">
        <f>IF(tblResults[[#This Row],[Left System]]=0,2881-tblResults[[#This Row],[Entered System]],tblResults[[#This Row],[Left System]]-tblResults[[#This Row],[Entered System]]+1)</f>
        <v>119</v>
      </c>
      <c r="H91" s="10">
        <f>tblResults[[#This Row],[Idle Time]]/tblResults[[#This Row],[Time in System]]</f>
        <v>0.21008403361344538</v>
      </c>
    </row>
    <row r="92" spans="1:13" x14ac:dyDescent="0.25">
      <c r="A92">
        <v>91</v>
      </c>
      <c r="B92">
        <v>1134</v>
      </c>
      <c r="C92">
        <v>1247</v>
      </c>
      <c r="D92">
        <v>-1</v>
      </c>
      <c r="E92" t="b">
        <v>1</v>
      </c>
      <c r="F92">
        <v>36</v>
      </c>
      <c r="G92">
        <f>IF(tblResults[[#This Row],[Left System]]=0,2881-tblResults[[#This Row],[Entered System]],tblResults[[#This Row],[Left System]]-tblResults[[#This Row],[Entered System]]+1)</f>
        <v>114</v>
      </c>
      <c r="H92" s="10">
        <f>tblResults[[#This Row],[Idle Time]]/tblResults[[#This Row],[Time in System]]</f>
        <v>0.31578947368421051</v>
      </c>
    </row>
    <row r="93" spans="1:13" x14ac:dyDescent="0.25">
      <c r="A93">
        <v>92</v>
      </c>
      <c r="B93">
        <v>1149</v>
      </c>
      <c r="C93">
        <v>1253</v>
      </c>
      <c r="D93">
        <v>-1</v>
      </c>
      <c r="E93" t="b">
        <v>1</v>
      </c>
      <c r="F93">
        <v>34</v>
      </c>
      <c r="G93">
        <f>IF(tblResults[[#This Row],[Left System]]=0,2881-tblResults[[#This Row],[Entered System]],tblResults[[#This Row],[Left System]]-tblResults[[#This Row],[Entered System]]+1)</f>
        <v>105</v>
      </c>
      <c r="H93" s="10">
        <f>tblResults[[#This Row],[Idle Time]]/tblResults[[#This Row],[Time in System]]</f>
        <v>0.32380952380952382</v>
      </c>
    </row>
    <row r="94" spans="1:13" x14ac:dyDescent="0.25">
      <c r="A94">
        <v>93</v>
      </c>
      <c r="B94">
        <v>1163</v>
      </c>
      <c r="C94">
        <v>1272</v>
      </c>
      <c r="D94">
        <v>-1</v>
      </c>
      <c r="E94" t="b">
        <v>1</v>
      </c>
      <c r="F94">
        <v>16</v>
      </c>
      <c r="G94">
        <f>IF(tblResults[[#This Row],[Left System]]=0,2881-tblResults[[#This Row],[Entered System]],tblResults[[#This Row],[Left System]]-tblResults[[#This Row],[Entered System]]+1)</f>
        <v>110</v>
      </c>
      <c r="H94" s="10">
        <f>tblResults[[#This Row],[Idle Time]]/tblResults[[#This Row],[Time in System]]</f>
        <v>0.14545454545454545</v>
      </c>
    </row>
    <row r="95" spans="1:13" x14ac:dyDescent="0.25">
      <c r="A95">
        <v>94</v>
      </c>
      <c r="B95">
        <v>1167</v>
      </c>
      <c r="C95">
        <v>1276</v>
      </c>
      <c r="D95">
        <v>-1</v>
      </c>
      <c r="E95" t="b">
        <v>1</v>
      </c>
      <c r="F95">
        <v>29</v>
      </c>
      <c r="G95">
        <f>IF(tblResults[[#This Row],[Left System]]=0,2881-tblResults[[#This Row],[Entered System]],tblResults[[#This Row],[Left System]]-tblResults[[#This Row],[Entered System]]+1)</f>
        <v>110</v>
      </c>
      <c r="H95" s="10">
        <f>tblResults[[#This Row],[Idle Time]]/tblResults[[#This Row],[Time in System]]</f>
        <v>0.26363636363636361</v>
      </c>
    </row>
    <row r="96" spans="1:13" x14ac:dyDescent="0.25">
      <c r="A96">
        <v>95</v>
      </c>
      <c r="B96">
        <v>1179</v>
      </c>
      <c r="C96">
        <v>1291</v>
      </c>
      <c r="D96">
        <v>-1</v>
      </c>
      <c r="E96" t="b">
        <v>1</v>
      </c>
      <c r="F96">
        <v>29</v>
      </c>
      <c r="G96">
        <f>IF(tblResults[[#This Row],[Left System]]=0,2881-tblResults[[#This Row],[Entered System]],tblResults[[#This Row],[Left System]]-tblResults[[#This Row],[Entered System]]+1)</f>
        <v>113</v>
      </c>
      <c r="H96" s="10">
        <f>tblResults[[#This Row],[Idle Time]]/tblResults[[#This Row],[Time in System]]</f>
        <v>0.25663716814159293</v>
      </c>
    </row>
    <row r="97" spans="1:8" x14ac:dyDescent="0.25">
      <c r="A97">
        <v>96</v>
      </c>
      <c r="B97">
        <v>1187</v>
      </c>
      <c r="C97">
        <v>1304</v>
      </c>
      <c r="D97">
        <v>-1</v>
      </c>
      <c r="E97" t="b">
        <v>1</v>
      </c>
      <c r="F97">
        <v>39</v>
      </c>
      <c r="G97">
        <f>IF(tblResults[[#This Row],[Left System]]=0,2881-tblResults[[#This Row],[Entered System]],tblResults[[#This Row],[Left System]]-tblResults[[#This Row],[Entered System]]+1)</f>
        <v>118</v>
      </c>
      <c r="H97" s="10">
        <f>tblResults[[#This Row],[Idle Time]]/tblResults[[#This Row],[Time in System]]</f>
        <v>0.33050847457627119</v>
      </c>
    </row>
    <row r="98" spans="1:8" x14ac:dyDescent="0.25">
      <c r="A98">
        <v>97</v>
      </c>
      <c r="B98">
        <v>1199</v>
      </c>
      <c r="C98">
        <v>1319</v>
      </c>
      <c r="D98">
        <v>-1</v>
      </c>
      <c r="E98" t="b">
        <v>1</v>
      </c>
      <c r="F98">
        <v>26</v>
      </c>
      <c r="G98">
        <f>IF(tblResults[[#This Row],[Left System]]=0,2881-tblResults[[#This Row],[Entered System]],tblResults[[#This Row],[Left System]]-tblResults[[#This Row],[Entered System]]+1)</f>
        <v>121</v>
      </c>
      <c r="H98" s="10">
        <f>tblResults[[#This Row],[Idle Time]]/tblResults[[#This Row],[Time in System]]</f>
        <v>0.21487603305785125</v>
      </c>
    </row>
    <row r="99" spans="1:8" x14ac:dyDescent="0.25">
      <c r="A99">
        <v>98</v>
      </c>
      <c r="B99">
        <v>1210</v>
      </c>
      <c r="C99">
        <v>1328</v>
      </c>
      <c r="D99">
        <v>-1</v>
      </c>
      <c r="E99" t="b">
        <v>1</v>
      </c>
      <c r="F99">
        <v>38</v>
      </c>
      <c r="G99">
        <f>IF(tblResults[[#This Row],[Left System]]=0,2881-tblResults[[#This Row],[Entered System]],tblResults[[#This Row],[Left System]]-tblResults[[#This Row],[Entered System]]+1)</f>
        <v>119</v>
      </c>
      <c r="H99" s="10">
        <f>tblResults[[#This Row],[Idle Time]]/tblResults[[#This Row],[Time in System]]</f>
        <v>0.31932773109243695</v>
      </c>
    </row>
    <row r="100" spans="1:8" x14ac:dyDescent="0.25">
      <c r="A100">
        <v>99</v>
      </c>
      <c r="B100">
        <v>1215</v>
      </c>
      <c r="C100">
        <v>1340</v>
      </c>
      <c r="D100">
        <v>-1</v>
      </c>
      <c r="E100" t="b">
        <v>1</v>
      </c>
      <c r="F100">
        <v>39</v>
      </c>
      <c r="G100">
        <f>IF(tblResults[[#This Row],[Left System]]=0,2881-tblResults[[#This Row],[Entered System]],tblResults[[#This Row],[Left System]]-tblResults[[#This Row],[Entered System]]+1)</f>
        <v>126</v>
      </c>
      <c r="H100" s="10">
        <f>tblResults[[#This Row],[Idle Time]]/tblResults[[#This Row],[Time in System]]</f>
        <v>0.30952380952380953</v>
      </c>
    </row>
    <row r="101" spans="1:8" x14ac:dyDescent="0.25">
      <c r="A101">
        <v>100</v>
      </c>
      <c r="B101">
        <v>1229</v>
      </c>
      <c r="C101">
        <v>1351</v>
      </c>
      <c r="D101">
        <v>-1</v>
      </c>
      <c r="E101" t="b">
        <v>1</v>
      </c>
      <c r="F101">
        <v>38</v>
      </c>
      <c r="G101">
        <f>IF(tblResults[[#This Row],[Left System]]=0,2881-tblResults[[#This Row],[Entered System]],tblResults[[#This Row],[Left System]]-tblResults[[#This Row],[Entered System]]+1)</f>
        <v>123</v>
      </c>
      <c r="H101" s="10">
        <f>tblResults[[#This Row],[Idle Time]]/tblResults[[#This Row],[Time in System]]</f>
        <v>0.30894308943089432</v>
      </c>
    </row>
    <row r="102" spans="1:8" x14ac:dyDescent="0.25">
      <c r="A102">
        <v>101</v>
      </c>
      <c r="B102">
        <v>1244</v>
      </c>
      <c r="C102">
        <v>1364</v>
      </c>
      <c r="D102">
        <v>-1</v>
      </c>
      <c r="E102" t="b">
        <v>1</v>
      </c>
      <c r="F102">
        <v>24</v>
      </c>
      <c r="G102">
        <f>IF(tblResults[[#This Row],[Left System]]=0,2881-tblResults[[#This Row],[Entered System]],tblResults[[#This Row],[Left System]]-tblResults[[#This Row],[Entered System]]+1)</f>
        <v>121</v>
      </c>
      <c r="H102" s="10">
        <f>tblResults[[#This Row],[Idle Time]]/tblResults[[#This Row],[Time in System]]</f>
        <v>0.19834710743801653</v>
      </c>
    </row>
    <row r="103" spans="1:8" x14ac:dyDescent="0.25">
      <c r="A103">
        <v>102</v>
      </c>
      <c r="B103">
        <v>1258</v>
      </c>
      <c r="C103">
        <v>1380</v>
      </c>
      <c r="D103">
        <v>-1</v>
      </c>
      <c r="E103" t="b">
        <v>1</v>
      </c>
      <c r="F103">
        <v>29</v>
      </c>
      <c r="G103">
        <f>IF(tblResults[[#This Row],[Left System]]=0,2881-tblResults[[#This Row],[Entered System]],tblResults[[#This Row],[Left System]]-tblResults[[#This Row],[Entered System]]+1)</f>
        <v>123</v>
      </c>
      <c r="H103" s="10">
        <f>tblResults[[#This Row],[Idle Time]]/tblResults[[#This Row],[Time in System]]</f>
        <v>0.23577235772357724</v>
      </c>
    </row>
    <row r="104" spans="1:8" x14ac:dyDescent="0.25">
      <c r="A104">
        <v>103</v>
      </c>
      <c r="B104">
        <v>1270</v>
      </c>
      <c r="C104">
        <v>1387</v>
      </c>
      <c r="D104">
        <v>-1</v>
      </c>
      <c r="E104" t="b">
        <v>1</v>
      </c>
      <c r="F104">
        <v>43</v>
      </c>
      <c r="G104">
        <f>IF(tblResults[[#This Row],[Left System]]=0,2881-tblResults[[#This Row],[Entered System]],tblResults[[#This Row],[Left System]]-tblResults[[#This Row],[Entered System]]+1)</f>
        <v>118</v>
      </c>
      <c r="H104" s="10">
        <f>tblResults[[#This Row],[Idle Time]]/tblResults[[#This Row],[Time in System]]</f>
        <v>0.36440677966101692</v>
      </c>
    </row>
    <row r="105" spans="1:8" x14ac:dyDescent="0.25">
      <c r="A105">
        <v>104</v>
      </c>
      <c r="B105">
        <v>1276</v>
      </c>
      <c r="C105">
        <v>1399</v>
      </c>
      <c r="D105">
        <v>-1</v>
      </c>
      <c r="E105" t="b">
        <v>1</v>
      </c>
      <c r="F105">
        <v>39</v>
      </c>
      <c r="G105">
        <f>IF(tblResults[[#This Row],[Left System]]=0,2881-tblResults[[#This Row],[Entered System]],tblResults[[#This Row],[Left System]]-tblResults[[#This Row],[Entered System]]+1)</f>
        <v>124</v>
      </c>
      <c r="H105" s="10">
        <f>tblResults[[#This Row],[Idle Time]]/tblResults[[#This Row],[Time in System]]</f>
        <v>0.31451612903225806</v>
      </c>
    </row>
    <row r="106" spans="1:8" x14ac:dyDescent="0.25">
      <c r="A106">
        <v>105</v>
      </c>
      <c r="B106">
        <v>1287</v>
      </c>
      <c r="C106">
        <v>1412</v>
      </c>
      <c r="D106">
        <v>-1</v>
      </c>
      <c r="E106" t="b">
        <v>1</v>
      </c>
      <c r="F106">
        <v>39</v>
      </c>
      <c r="G106">
        <f>IF(tblResults[[#This Row],[Left System]]=0,2881-tblResults[[#This Row],[Entered System]],tblResults[[#This Row],[Left System]]-tblResults[[#This Row],[Entered System]]+1)</f>
        <v>126</v>
      </c>
      <c r="H106" s="10">
        <f>tblResults[[#This Row],[Idle Time]]/tblResults[[#This Row],[Time in System]]</f>
        <v>0.30952380952380953</v>
      </c>
    </row>
    <row r="107" spans="1:8" x14ac:dyDescent="0.25">
      <c r="A107">
        <v>106</v>
      </c>
      <c r="B107">
        <v>1298</v>
      </c>
      <c r="C107">
        <v>1417</v>
      </c>
      <c r="D107">
        <v>-1</v>
      </c>
      <c r="E107" t="b">
        <v>1</v>
      </c>
      <c r="F107">
        <v>58</v>
      </c>
      <c r="G107">
        <f>IF(tblResults[[#This Row],[Left System]]=0,2881-tblResults[[#This Row],[Entered System]],tblResults[[#This Row],[Left System]]-tblResults[[#This Row],[Entered System]]+1)</f>
        <v>120</v>
      </c>
      <c r="H107" s="10">
        <f>tblResults[[#This Row],[Idle Time]]/tblResults[[#This Row],[Time in System]]</f>
        <v>0.48333333333333334</v>
      </c>
    </row>
    <row r="108" spans="1:8" x14ac:dyDescent="0.25">
      <c r="A108">
        <v>107</v>
      </c>
      <c r="B108">
        <v>1312</v>
      </c>
      <c r="C108">
        <v>1438</v>
      </c>
      <c r="D108">
        <v>-1</v>
      </c>
      <c r="E108" t="b">
        <v>1</v>
      </c>
      <c r="F108">
        <v>18</v>
      </c>
      <c r="G108">
        <f>IF(tblResults[[#This Row],[Left System]]=0,2881-tblResults[[#This Row],[Entered System]],tblResults[[#This Row],[Left System]]-tblResults[[#This Row],[Entered System]]+1)</f>
        <v>127</v>
      </c>
      <c r="H108" s="10">
        <f>tblResults[[#This Row],[Idle Time]]/tblResults[[#This Row],[Time in System]]</f>
        <v>0.14173228346456693</v>
      </c>
    </row>
    <row r="109" spans="1:8" x14ac:dyDescent="0.25">
      <c r="A109">
        <v>108</v>
      </c>
      <c r="B109">
        <v>1324</v>
      </c>
      <c r="C109">
        <v>1451</v>
      </c>
      <c r="D109">
        <v>-1</v>
      </c>
      <c r="E109" t="b">
        <v>1</v>
      </c>
      <c r="F109">
        <v>48</v>
      </c>
      <c r="G109">
        <f>IF(tblResults[[#This Row],[Left System]]=0,2881-tblResults[[#This Row],[Entered System]],tblResults[[#This Row],[Left System]]-tblResults[[#This Row],[Entered System]]+1)</f>
        <v>128</v>
      </c>
      <c r="H109" s="10">
        <f>tblResults[[#This Row],[Idle Time]]/tblResults[[#This Row],[Time in System]]</f>
        <v>0.375</v>
      </c>
    </row>
    <row r="110" spans="1:8" x14ac:dyDescent="0.25">
      <c r="A110">
        <v>109</v>
      </c>
      <c r="B110">
        <v>1332</v>
      </c>
      <c r="C110">
        <v>1458</v>
      </c>
      <c r="D110">
        <v>-1</v>
      </c>
      <c r="E110" t="b">
        <v>1</v>
      </c>
      <c r="F110">
        <v>53</v>
      </c>
      <c r="G110">
        <f>IF(tblResults[[#This Row],[Left System]]=0,2881-tblResults[[#This Row],[Entered System]],tblResults[[#This Row],[Left System]]-tblResults[[#This Row],[Entered System]]+1)</f>
        <v>127</v>
      </c>
      <c r="H110" s="10">
        <f>tblResults[[#This Row],[Idle Time]]/tblResults[[#This Row],[Time in System]]</f>
        <v>0.41732283464566927</v>
      </c>
    </row>
    <row r="111" spans="1:8" x14ac:dyDescent="0.25">
      <c r="A111">
        <v>110</v>
      </c>
      <c r="B111">
        <v>1350</v>
      </c>
      <c r="C111">
        <v>1477</v>
      </c>
      <c r="D111">
        <v>-1</v>
      </c>
      <c r="E111" t="b">
        <v>1</v>
      </c>
      <c r="F111">
        <v>42</v>
      </c>
      <c r="G111">
        <f>IF(tblResults[[#This Row],[Left System]]=0,2881-tblResults[[#This Row],[Entered System]],tblResults[[#This Row],[Left System]]-tblResults[[#This Row],[Entered System]]+1)</f>
        <v>128</v>
      </c>
      <c r="H111" s="10">
        <f>tblResults[[#This Row],[Idle Time]]/tblResults[[#This Row],[Time in System]]</f>
        <v>0.328125</v>
      </c>
    </row>
    <row r="112" spans="1:8" x14ac:dyDescent="0.25">
      <c r="A112">
        <v>111</v>
      </c>
      <c r="B112">
        <v>1359</v>
      </c>
      <c r="C112">
        <v>1488</v>
      </c>
      <c r="D112">
        <v>-1</v>
      </c>
      <c r="E112" t="b">
        <v>1</v>
      </c>
      <c r="F112">
        <v>44</v>
      </c>
      <c r="G112">
        <f>IF(tblResults[[#This Row],[Left System]]=0,2881-tblResults[[#This Row],[Entered System]],tblResults[[#This Row],[Left System]]-tblResults[[#This Row],[Entered System]]+1)</f>
        <v>130</v>
      </c>
      <c r="H112" s="10">
        <f>tblResults[[#This Row],[Idle Time]]/tblResults[[#This Row],[Time in System]]</f>
        <v>0.33846153846153848</v>
      </c>
    </row>
    <row r="113" spans="1:8" x14ac:dyDescent="0.25">
      <c r="A113">
        <v>112</v>
      </c>
      <c r="B113">
        <v>1372</v>
      </c>
      <c r="C113">
        <v>1497</v>
      </c>
      <c r="D113">
        <v>-1</v>
      </c>
      <c r="E113" t="b">
        <v>1</v>
      </c>
      <c r="F113">
        <v>34</v>
      </c>
      <c r="G113">
        <f>IF(tblResults[[#This Row],[Left System]]=0,2881-tblResults[[#This Row],[Entered System]],tblResults[[#This Row],[Left System]]-tblResults[[#This Row],[Entered System]]+1)</f>
        <v>126</v>
      </c>
      <c r="H113" s="10">
        <f>tblResults[[#This Row],[Idle Time]]/tblResults[[#This Row],[Time in System]]</f>
        <v>0.26984126984126983</v>
      </c>
    </row>
    <row r="114" spans="1:8" x14ac:dyDescent="0.25">
      <c r="A114">
        <v>113</v>
      </c>
      <c r="B114">
        <v>1382</v>
      </c>
      <c r="C114">
        <v>1519</v>
      </c>
      <c r="D114">
        <v>-1</v>
      </c>
      <c r="E114" t="b">
        <v>1</v>
      </c>
      <c r="F114">
        <v>46</v>
      </c>
      <c r="G114">
        <f>IF(tblResults[[#This Row],[Left System]]=0,2881-tblResults[[#This Row],[Entered System]],tblResults[[#This Row],[Left System]]-tblResults[[#This Row],[Entered System]]+1)</f>
        <v>138</v>
      </c>
      <c r="H114" s="10">
        <f>tblResults[[#This Row],[Idle Time]]/tblResults[[#This Row],[Time in System]]</f>
        <v>0.33333333333333331</v>
      </c>
    </row>
    <row r="115" spans="1:8" x14ac:dyDescent="0.25">
      <c r="A115">
        <v>114</v>
      </c>
      <c r="B115">
        <v>1392</v>
      </c>
      <c r="C115">
        <v>1544</v>
      </c>
      <c r="D115">
        <v>-1</v>
      </c>
      <c r="E115" t="b">
        <v>1</v>
      </c>
      <c r="F115">
        <v>55</v>
      </c>
      <c r="G115">
        <f>IF(tblResults[[#This Row],[Left System]]=0,2881-tblResults[[#This Row],[Entered System]],tblResults[[#This Row],[Left System]]-tblResults[[#This Row],[Entered System]]+1)</f>
        <v>153</v>
      </c>
      <c r="H115" s="10">
        <f>tblResults[[#This Row],[Idle Time]]/tblResults[[#This Row],[Time in System]]</f>
        <v>0.35947712418300654</v>
      </c>
    </row>
    <row r="116" spans="1:8" x14ac:dyDescent="0.25">
      <c r="A116">
        <v>115</v>
      </c>
      <c r="B116">
        <v>1403</v>
      </c>
      <c r="C116">
        <v>1551</v>
      </c>
      <c r="D116">
        <v>-1</v>
      </c>
      <c r="E116" t="b">
        <v>1</v>
      </c>
      <c r="F116">
        <v>50</v>
      </c>
      <c r="G116">
        <f>IF(tblResults[[#This Row],[Left System]]=0,2881-tblResults[[#This Row],[Entered System]],tblResults[[#This Row],[Left System]]-tblResults[[#This Row],[Entered System]]+1)</f>
        <v>149</v>
      </c>
      <c r="H116" s="10">
        <f>tblResults[[#This Row],[Idle Time]]/tblResults[[#This Row],[Time in System]]</f>
        <v>0.33557046979865773</v>
      </c>
    </row>
    <row r="117" spans="1:8" x14ac:dyDescent="0.25">
      <c r="A117">
        <v>116</v>
      </c>
      <c r="B117">
        <v>1410</v>
      </c>
      <c r="C117">
        <v>1556</v>
      </c>
      <c r="D117">
        <v>-1</v>
      </c>
      <c r="E117" t="b">
        <v>1</v>
      </c>
      <c r="F117">
        <v>72</v>
      </c>
      <c r="G117">
        <f>IF(tblResults[[#This Row],[Left System]]=0,2881-tblResults[[#This Row],[Entered System]],tblResults[[#This Row],[Left System]]-tblResults[[#This Row],[Entered System]]+1)</f>
        <v>147</v>
      </c>
      <c r="H117" s="10">
        <f>tblResults[[#This Row],[Idle Time]]/tblResults[[#This Row],[Time in System]]</f>
        <v>0.48979591836734693</v>
      </c>
    </row>
    <row r="118" spans="1:8" x14ac:dyDescent="0.25">
      <c r="A118">
        <v>117</v>
      </c>
      <c r="B118">
        <v>1423</v>
      </c>
      <c r="C118">
        <v>1569</v>
      </c>
      <c r="D118">
        <v>-1</v>
      </c>
      <c r="E118" t="b">
        <v>1</v>
      </c>
      <c r="F118">
        <v>64</v>
      </c>
      <c r="G118">
        <f>IF(tblResults[[#This Row],[Left System]]=0,2881-tblResults[[#This Row],[Entered System]],tblResults[[#This Row],[Left System]]-tblResults[[#This Row],[Entered System]]+1)</f>
        <v>147</v>
      </c>
      <c r="H118" s="10">
        <f>tblResults[[#This Row],[Idle Time]]/tblResults[[#This Row],[Time in System]]</f>
        <v>0.43537414965986393</v>
      </c>
    </row>
    <row r="119" spans="1:8" x14ac:dyDescent="0.25">
      <c r="A119">
        <v>118</v>
      </c>
      <c r="B119">
        <v>1430</v>
      </c>
      <c r="C119">
        <v>1570</v>
      </c>
      <c r="D119">
        <v>-1</v>
      </c>
      <c r="E119" t="b">
        <v>1</v>
      </c>
      <c r="F119">
        <v>74</v>
      </c>
      <c r="G119">
        <f>IF(tblResults[[#This Row],[Left System]]=0,2881-tblResults[[#This Row],[Entered System]],tblResults[[#This Row],[Left System]]-tblResults[[#This Row],[Entered System]]+1)</f>
        <v>141</v>
      </c>
      <c r="H119" s="10">
        <f>tblResults[[#This Row],[Idle Time]]/tblResults[[#This Row],[Time in System]]</f>
        <v>0.52482269503546097</v>
      </c>
    </row>
    <row r="120" spans="1:8" x14ac:dyDescent="0.25">
      <c r="A120">
        <v>119</v>
      </c>
      <c r="B120">
        <v>1442</v>
      </c>
      <c r="C120">
        <v>1572</v>
      </c>
      <c r="D120">
        <v>-1</v>
      </c>
      <c r="E120" t="b">
        <v>1</v>
      </c>
      <c r="F120">
        <v>52</v>
      </c>
      <c r="G120">
        <f>IF(tblResults[[#This Row],[Left System]]=0,2881-tblResults[[#This Row],[Entered System]],tblResults[[#This Row],[Left System]]-tblResults[[#This Row],[Entered System]]+1)</f>
        <v>131</v>
      </c>
      <c r="H120" s="10">
        <f>tblResults[[#This Row],[Idle Time]]/tblResults[[#This Row],[Time in System]]</f>
        <v>0.39694656488549618</v>
      </c>
    </row>
    <row r="121" spans="1:8" x14ac:dyDescent="0.25">
      <c r="A121">
        <v>120</v>
      </c>
      <c r="B121">
        <v>1455</v>
      </c>
      <c r="C121">
        <v>1601</v>
      </c>
      <c r="D121">
        <v>-1</v>
      </c>
      <c r="E121" t="b">
        <v>1</v>
      </c>
      <c r="F121">
        <v>53</v>
      </c>
      <c r="G121">
        <f>IF(tblResults[[#This Row],[Left System]]=0,2881-tblResults[[#This Row],[Entered System]],tblResults[[#This Row],[Left System]]-tblResults[[#This Row],[Entered System]]+1)</f>
        <v>147</v>
      </c>
      <c r="H121" s="10">
        <f>tblResults[[#This Row],[Idle Time]]/tblResults[[#This Row],[Time in System]]</f>
        <v>0.36054421768707484</v>
      </c>
    </row>
    <row r="122" spans="1:8" x14ac:dyDescent="0.25">
      <c r="A122">
        <v>121</v>
      </c>
      <c r="B122">
        <v>1468</v>
      </c>
      <c r="C122">
        <v>1613</v>
      </c>
      <c r="D122">
        <v>-1</v>
      </c>
      <c r="E122" t="b">
        <v>1</v>
      </c>
      <c r="F122">
        <v>56</v>
      </c>
      <c r="G122">
        <f>IF(tblResults[[#This Row],[Left System]]=0,2881-tblResults[[#This Row],[Entered System]],tblResults[[#This Row],[Left System]]-tblResults[[#This Row],[Entered System]]+1)</f>
        <v>146</v>
      </c>
      <c r="H122" s="10">
        <f>tblResults[[#This Row],[Idle Time]]/tblResults[[#This Row],[Time in System]]</f>
        <v>0.38356164383561642</v>
      </c>
    </row>
    <row r="123" spans="1:8" x14ac:dyDescent="0.25">
      <c r="A123">
        <v>122</v>
      </c>
      <c r="B123">
        <v>1486</v>
      </c>
      <c r="C123">
        <v>1631</v>
      </c>
      <c r="D123">
        <v>-1</v>
      </c>
      <c r="E123" t="b">
        <v>1</v>
      </c>
      <c r="F123">
        <v>51</v>
      </c>
      <c r="G123">
        <f>IF(tblResults[[#This Row],[Left System]]=0,2881-tblResults[[#This Row],[Entered System]],tblResults[[#This Row],[Left System]]-tblResults[[#This Row],[Entered System]]+1)</f>
        <v>146</v>
      </c>
      <c r="H123" s="10">
        <f>tblResults[[#This Row],[Idle Time]]/tblResults[[#This Row],[Time in System]]</f>
        <v>0.34931506849315069</v>
      </c>
    </row>
    <row r="124" spans="1:8" x14ac:dyDescent="0.25">
      <c r="A124">
        <v>123</v>
      </c>
      <c r="B124">
        <v>1498</v>
      </c>
      <c r="C124">
        <v>1629</v>
      </c>
      <c r="D124">
        <v>-1</v>
      </c>
      <c r="E124" t="b">
        <v>1</v>
      </c>
      <c r="F124">
        <v>50</v>
      </c>
      <c r="G124">
        <f>IF(tblResults[[#This Row],[Left System]]=0,2881-tblResults[[#This Row],[Entered System]],tblResults[[#This Row],[Left System]]-tblResults[[#This Row],[Entered System]]+1)</f>
        <v>132</v>
      </c>
      <c r="H124" s="10">
        <f>tblResults[[#This Row],[Idle Time]]/tblResults[[#This Row],[Time in System]]</f>
        <v>0.37878787878787878</v>
      </c>
    </row>
    <row r="125" spans="1:8" x14ac:dyDescent="0.25">
      <c r="A125">
        <v>124</v>
      </c>
      <c r="B125">
        <v>1514</v>
      </c>
      <c r="C125">
        <v>1648</v>
      </c>
      <c r="D125">
        <v>-1</v>
      </c>
      <c r="E125" t="b">
        <v>1</v>
      </c>
      <c r="F125">
        <v>52</v>
      </c>
      <c r="G125">
        <f>IF(tblResults[[#This Row],[Left System]]=0,2881-tblResults[[#This Row],[Entered System]],tblResults[[#This Row],[Left System]]-tblResults[[#This Row],[Entered System]]+1)</f>
        <v>135</v>
      </c>
      <c r="H125" s="10">
        <f>tblResults[[#This Row],[Idle Time]]/tblResults[[#This Row],[Time in System]]</f>
        <v>0.38518518518518519</v>
      </c>
    </row>
    <row r="126" spans="1:8" x14ac:dyDescent="0.25">
      <c r="A126">
        <v>125</v>
      </c>
      <c r="B126">
        <v>1522</v>
      </c>
      <c r="C126">
        <v>1654</v>
      </c>
      <c r="D126">
        <v>-1</v>
      </c>
      <c r="E126" t="b">
        <v>1</v>
      </c>
      <c r="F126">
        <v>60</v>
      </c>
      <c r="G126">
        <f>IF(tblResults[[#This Row],[Left System]]=0,2881-tblResults[[#This Row],[Entered System]],tblResults[[#This Row],[Left System]]-tblResults[[#This Row],[Entered System]]+1)</f>
        <v>133</v>
      </c>
      <c r="H126" s="10">
        <f>tblResults[[#This Row],[Idle Time]]/tblResults[[#This Row],[Time in System]]</f>
        <v>0.45112781954887216</v>
      </c>
    </row>
    <row r="127" spans="1:8" x14ac:dyDescent="0.25">
      <c r="A127">
        <v>126</v>
      </c>
      <c r="B127">
        <v>1538</v>
      </c>
      <c r="C127">
        <v>1671</v>
      </c>
      <c r="D127">
        <v>-1</v>
      </c>
      <c r="E127" t="b">
        <v>1</v>
      </c>
      <c r="F127">
        <v>40</v>
      </c>
      <c r="G127">
        <f>IF(tblResults[[#This Row],[Left System]]=0,2881-tblResults[[#This Row],[Entered System]],tblResults[[#This Row],[Left System]]-tblResults[[#This Row],[Entered System]]+1)</f>
        <v>134</v>
      </c>
      <c r="H127" s="10">
        <f>tblResults[[#This Row],[Idle Time]]/tblResults[[#This Row],[Time in System]]</f>
        <v>0.29850746268656714</v>
      </c>
    </row>
    <row r="128" spans="1:8" x14ac:dyDescent="0.25">
      <c r="A128">
        <v>127</v>
      </c>
      <c r="B128">
        <v>1551</v>
      </c>
      <c r="C128">
        <v>1688</v>
      </c>
      <c r="D128">
        <v>-1</v>
      </c>
      <c r="E128" t="b">
        <v>1</v>
      </c>
      <c r="F128">
        <v>49</v>
      </c>
      <c r="G128">
        <f>IF(tblResults[[#This Row],[Left System]]=0,2881-tblResults[[#This Row],[Entered System]],tblResults[[#This Row],[Left System]]-tblResults[[#This Row],[Entered System]]+1)</f>
        <v>138</v>
      </c>
      <c r="H128" s="10">
        <f>tblResults[[#This Row],[Idle Time]]/tblResults[[#This Row],[Time in System]]</f>
        <v>0.35507246376811596</v>
      </c>
    </row>
    <row r="129" spans="1:8" x14ac:dyDescent="0.25">
      <c r="A129">
        <v>128</v>
      </c>
      <c r="B129">
        <v>1566</v>
      </c>
      <c r="C129">
        <v>1699</v>
      </c>
      <c r="D129">
        <v>-1</v>
      </c>
      <c r="E129" t="b">
        <v>1</v>
      </c>
      <c r="F129">
        <v>40</v>
      </c>
      <c r="G129">
        <f>IF(tblResults[[#This Row],[Left System]]=0,2881-tblResults[[#This Row],[Entered System]],tblResults[[#This Row],[Left System]]-tblResults[[#This Row],[Entered System]]+1)</f>
        <v>134</v>
      </c>
      <c r="H129" s="10">
        <f>tblResults[[#This Row],[Idle Time]]/tblResults[[#This Row],[Time in System]]</f>
        <v>0.29850746268656714</v>
      </c>
    </row>
    <row r="130" spans="1:8" x14ac:dyDescent="0.25">
      <c r="A130">
        <v>129</v>
      </c>
      <c r="B130">
        <v>1579</v>
      </c>
      <c r="C130">
        <v>1714</v>
      </c>
      <c r="D130">
        <v>-1</v>
      </c>
      <c r="E130" t="b">
        <v>1</v>
      </c>
      <c r="F130">
        <v>62</v>
      </c>
      <c r="G130">
        <f>IF(tblResults[[#This Row],[Left System]]=0,2881-tblResults[[#This Row],[Entered System]],tblResults[[#This Row],[Left System]]-tblResults[[#This Row],[Entered System]]+1)</f>
        <v>136</v>
      </c>
      <c r="H130" s="10">
        <f>tblResults[[#This Row],[Idle Time]]/tblResults[[#This Row],[Time in System]]</f>
        <v>0.45588235294117646</v>
      </c>
    </row>
    <row r="131" spans="1:8" x14ac:dyDescent="0.25">
      <c r="A131">
        <v>130</v>
      </c>
      <c r="B131">
        <v>1593</v>
      </c>
      <c r="C131">
        <v>1748</v>
      </c>
      <c r="D131">
        <v>-1</v>
      </c>
      <c r="E131" t="b">
        <v>1</v>
      </c>
      <c r="F131">
        <v>40</v>
      </c>
      <c r="G131">
        <f>IF(tblResults[[#This Row],[Left System]]=0,2881-tblResults[[#This Row],[Entered System]],tblResults[[#This Row],[Left System]]-tblResults[[#This Row],[Entered System]]+1)</f>
        <v>156</v>
      </c>
      <c r="H131" s="10">
        <f>tblResults[[#This Row],[Idle Time]]/tblResults[[#This Row],[Time in System]]</f>
        <v>0.25641025641025639</v>
      </c>
    </row>
    <row r="132" spans="1:8" x14ac:dyDescent="0.25">
      <c r="A132">
        <v>131</v>
      </c>
      <c r="B132">
        <v>1610</v>
      </c>
      <c r="C132">
        <v>1744</v>
      </c>
      <c r="D132">
        <v>-1</v>
      </c>
      <c r="E132" t="b">
        <v>1</v>
      </c>
      <c r="F132">
        <v>42</v>
      </c>
      <c r="G132">
        <f>IF(tblResults[[#This Row],[Left System]]=0,2881-tblResults[[#This Row],[Entered System]],tblResults[[#This Row],[Left System]]-tblResults[[#This Row],[Entered System]]+1)</f>
        <v>135</v>
      </c>
      <c r="H132" s="10">
        <f>tblResults[[#This Row],[Idle Time]]/tblResults[[#This Row],[Time in System]]</f>
        <v>0.31111111111111112</v>
      </c>
    </row>
    <row r="133" spans="1:8" x14ac:dyDescent="0.25">
      <c r="A133">
        <v>132</v>
      </c>
      <c r="B133">
        <v>1626</v>
      </c>
      <c r="C133">
        <v>1748</v>
      </c>
      <c r="D133">
        <v>-1</v>
      </c>
      <c r="E133" t="b">
        <v>1</v>
      </c>
      <c r="F133">
        <v>47</v>
      </c>
      <c r="G133">
        <f>IF(tblResults[[#This Row],[Left System]]=0,2881-tblResults[[#This Row],[Entered System]],tblResults[[#This Row],[Left System]]-tblResults[[#This Row],[Entered System]]+1)</f>
        <v>123</v>
      </c>
      <c r="H133" s="10">
        <f>tblResults[[#This Row],[Idle Time]]/tblResults[[#This Row],[Time in System]]</f>
        <v>0.38211382113821141</v>
      </c>
    </row>
    <row r="134" spans="1:8" x14ac:dyDescent="0.25">
      <c r="A134">
        <v>133</v>
      </c>
      <c r="B134">
        <v>1643</v>
      </c>
      <c r="C134">
        <v>1767</v>
      </c>
      <c r="D134">
        <v>-1</v>
      </c>
      <c r="E134" t="b">
        <v>1</v>
      </c>
      <c r="F134">
        <v>44</v>
      </c>
      <c r="G134">
        <f>IF(tblResults[[#This Row],[Left System]]=0,2881-tblResults[[#This Row],[Entered System]],tblResults[[#This Row],[Left System]]-tblResults[[#This Row],[Entered System]]+1)</f>
        <v>125</v>
      </c>
      <c r="H134" s="10">
        <f>tblResults[[#This Row],[Idle Time]]/tblResults[[#This Row],[Time in System]]</f>
        <v>0.35199999999999998</v>
      </c>
    </row>
    <row r="135" spans="1:8" x14ac:dyDescent="0.25">
      <c r="A135">
        <v>134</v>
      </c>
      <c r="B135">
        <v>1656</v>
      </c>
      <c r="C135">
        <v>1785</v>
      </c>
      <c r="D135">
        <v>-1</v>
      </c>
      <c r="E135" t="b">
        <v>1</v>
      </c>
      <c r="F135">
        <v>43</v>
      </c>
      <c r="G135">
        <f>IF(tblResults[[#This Row],[Left System]]=0,2881-tblResults[[#This Row],[Entered System]],tblResults[[#This Row],[Left System]]-tblResults[[#This Row],[Entered System]]+1)</f>
        <v>130</v>
      </c>
      <c r="H135" s="10">
        <f>tblResults[[#This Row],[Idle Time]]/tblResults[[#This Row],[Time in System]]</f>
        <v>0.33076923076923076</v>
      </c>
    </row>
    <row r="136" spans="1:8" x14ac:dyDescent="0.25">
      <c r="A136">
        <v>135</v>
      </c>
      <c r="B136">
        <v>1672</v>
      </c>
      <c r="C136">
        <v>1795</v>
      </c>
      <c r="D136">
        <v>-1</v>
      </c>
      <c r="E136" t="b">
        <v>1</v>
      </c>
      <c r="F136">
        <v>33</v>
      </c>
      <c r="G136">
        <f>IF(tblResults[[#This Row],[Left System]]=0,2881-tblResults[[#This Row],[Entered System]],tblResults[[#This Row],[Left System]]-tblResults[[#This Row],[Entered System]]+1)</f>
        <v>124</v>
      </c>
      <c r="H136" s="10">
        <f>tblResults[[#This Row],[Idle Time]]/tblResults[[#This Row],[Time in System]]</f>
        <v>0.2661290322580645</v>
      </c>
    </row>
    <row r="137" spans="1:8" x14ac:dyDescent="0.25">
      <c r="A137">
        <v>136</v>
      </c>
      <c r="B137">
        <v>1685</v>
      </c>
      <c r="C137">
        <v>1808</v>
      </c>
      <c r="D137">
        <v>-1</v>
      </c>
      <c r="E137" t="b">
        <v>1</v>
      </c>
      <c r="F137">
        <v>20</v>
      </c>
      <c r="G137">
        <f>IF(tblResults[[#This Row],[Left System]]=0,2881-tblResults[[#This Row],[Entered System]],tblResults[[#This Row],[Left System]]-tblResults[[#This Row],[Entered System]]+1)</f>
        <v>124</v>
      </c>
      <c r="H137" s="10">
        <f>tblResults[[#This Row],[Idle Time]]/tblResults[[#This Row],[Time in System]]</f>
        <v>0.16129032258064516</v>
      </c>
    </row>
    <row r="138" spans="1:8" x14ac:dyDescent="0.25">
      <c r="A138">
        <v>137</v>
      </c>
      <c r="B138">
        <v>1699</v>
      </c>
      <c r="C138">
        <v>1816</v>
      </c>
      <c r="D138">
        <v>-1</v>
      </c>
      <c r="E138" t="b">
        <v>1</v>
      </c>
      <c r="F138">
        <v>11</v>
      </c>
      <c r="G138">
        <f>IF(tblResults[[#This Row],[Left System]]=0,2881-tblResults[[#This Row],[Entered System]],tblResults[[#This Row],[Left System]]-tblResults[[#This Row],[Entered System]]+1)</f>
        <v>118</v>
      </c>
      <c r="H138" s="10">
        <f>tblResults[[#This Row],[Idle Time]]/tblResults[[#This Row],[Time in System]]</f>
        <v>9.3220338983050849E-2</v>
      </c>
    </row>
    <row r="139" spans="1:8" x14ac:dyDescent="0.25">
      <c r="A139">
        <v>138</v>
      </c>
      <c r="B139">
        <v>1718</v>
      </c>
      <c r="C139">
        <v>1823</v>
      </c>
      <c r="D139">
        <v>-1</v>
      </c>
      <c r="E139" t="b">
        <v>1</v>
      </c>
      <c r="F139">
        <v>34</v>
      </c>
      <c r="G139">
        <f>IF(tblResults[[#This Row],[Left System]]=0,2881-tblResults[[#This Row],[Entered System]],tblResults[[#This Row],[Left System]]-tblResults[[#This Row],[Entered System]]+1)</f>
        <v>106</v>
      </c>
      <c r="H139" s="10">
        <f>tblResults[[#This Row],[Idle Time]]/tblResults[[#This Row],[Time in System]]</f>
        <v>0.32075471698113206</v>
      </c>
    </row>
    <row r="140" spans="1:8" x14ac:dyDescent="0.25">
      <c r="A140">
        <v>139</v>
      </c>
      <c r="B140">
        <v>1728</v>
      </c>
      <c r="C140">
        <v>1831</v>
      </c>
      <c r="D140">
        <v>-1</v>
      </c>
      <c r="E140" t="b">
        <v>1</v>
      </c>
      <c r="F140">
        <v>19</v>
      </c>
      <c r="G140">
        <f>IF(tblResults[[#This Row],[Left System]]=0,2881-tblResults[[#This Row],[Entered System]],tblResults[[#This Row],[Left System]]-tblResults[[#This Row],[Entered System]]+1)</f>
        <v>104</v>
      </c>
      <c r="H140" s="10">
        <f>tblResults[[#This Row],[Idle Time]]/tblResults[[#This Row],[Time in System]]</f>
        <v>0.18269230769230768</v>
      </c>
    </row>
    <row r="141" spans="1:8" x14ac:dyDescent="0.25">
      <c r="A141">
        <v>140</v>
      </c>
      <c r="B141">
        <v>1742</v>
      </c>
      <c r="C141">
        <v>1853</v>
      </c>
      <c r="D141">
        <v>-1</v>
      </c>
      <c r="E141" t="b">
        <v>1</v>
      </c>
      <c r="F141">
        <v>6</v>
      </c>
      <c r="G141">
        <f>IF(tblResults[[#This Row],[Left System]]=0,2881-tblResults[[#This Row],[Entered System]],tblResults[[#This Row],[Left System]]-tblResults[[#This Row],[Entered System]]+1)</f>
        <v>112</v>
      </c>
      <c r="H141" s="10">
        <f>tblResults[[#This Row],[Idle Time]]/tblResults[[#This Row],[Time in System]]</f>
        <v>5.3571428571428568E-2</v>
      </c>
    </row>
    <row r="142" spans="1:8" x14ac:dyDescent="0.25">
      <c r="A142">
        <v>141</v>
      </c>
      <c r="B142">
        <v>1750</v>
      </c>
      <c r="C142">
        <v>1871</v>
      </c>
      <c r="D142">
        <v>-1</v>
      </c>
      <c r="E142" t="b">
        <v>1</v>
      </c>
      <c r="F142">
        <v>35</v>
      </c>
      <c r="G142">
        <f>IF(tblResults[[#This Row],[Left System]]=0,2881-tblResults[[#This Row],[Entered System]],tblResults[[#This Row],[Left System]]-tblResults[[#This Row],[Entered System]]+1)</f>
        <v>122</v>
      </c>
      <c r="H142" s="10">
        <f>tblResults[[#This Row],[Idle Time]]/tblResults[[#This Row],[Time in System]]</f>
        <v>0.28688524590163933</v>
      </c>
    </row>
    <row r="143" spans="1:8" x14ac:dyDescent="0.25">
      <c r="A143">
        <v>142</v>
      </c>
      <c r="B143">
        <v>1758</v>
      </c>
      <c r="C143">
        <v>1867</v>
      </c>
      <c r="D143">
        <v>-1</v>
      </c>
      <c r="E143" t="b">
        <v>1</v>
      </c>
      <c r="F143">
        <v>28</v>
      </c>
      <c r="G143">
        <f>IF(tblResults[[#This Row],[Left System]]=0,2881-tblResults[[#This Row],[Entered System]],tblResults[[#This Row],[Left System]]-tblResults[[#This Row],[Entered System]]+1)</f>
        <v>110</v>
      </c>
      <c r="H143" s="10">
        <f>tblResults[[#This Row],[Idle Time]]/tblResults[[#This Row],[Time in System]]</f>
        <v>0.25454545454545452</v>
      </c>
    </row>
    <row r="144" spans="1:8" x14ac:dyDescent="0.25">
      <c r="A144">
        <v>143</v>
      </c>
      <c r="B144">
        <v>1771</v>
      </c>
      <c r="C144">
        <v>1884</v>
      </c>
      <c r="D144">
        <v>-1</v>
      </c>
      <c r="E144" t="b">
        <v>1</v>
      </c>
      <c r="F144">
        <v>31</v>
      </c>
      <c r="G144">
        <f>IF(tblResults[[#This Row],[Left System]]=0,2881-tblResults[[#This Row],[Entered System]],tblResults[[#This Row],[Left System]]-tblResults[[#This Row],[Entered System]]+1)</f>
        <v>114</v>
      </c>
      <c r="H144" s="10">
        <f>tblResults[[#This Row],[Idle Time]]/tblResults[[#This Row],[Time in System]]</f>
        <v>0.27192982456140352</v>
      </c>
    </row>
    <row r="145" spans="1:8" x14ac:dyDescent="0.25">
      <c r="A145">
        <v>144</v>
      </c>
      <c r="B145">
        <v>1789</v>
      </c>
      <c r="C145">
        <v>1896</v>
      </c>
      <c r="D145">
        <v>-1</v>
      </c>
      <c r="E145" t="b">
        <v>1</v>
      </c>
      <c r="F145">
        <v>13</v>
      </c>
      <c r="G145">
        <f>IF(tblResults[[#This Row],[Left System]]=0,2881-tblResults[[#This Row],[Entered System]],tblResults[[#This Row],[Left System]]-tblResults[[#This Row],[Entered System]]+1)</f>
        <v>108</v>
      </c>
      <c r="H145" s="10">
        <f>tblResults[[#This Row],[Idle Time]]/tblResults[[#This Row],[Time in System]]</f>
        <v>0.12037037037037036</v>
      </c>
    </row>
    <row r="146" spans="1:8" x14ac:dyDescent="0.25">
      <c r="A146">
        <v>145</v>
      </c>
      <c r="B146">
        <v>1799</v>
      </c>
      <c r="C146">
        <v>1920</v>
      </c>
      <c r="D146">
        <v>-1</v>
      </c>
      <c r="E146" t="b">
        <v>1</v>
      </c>
      <c r="F146">
        <v>28</v>
      </c>
      <c r="G146">
        <f>IF(tblResults[[#This Row],[Left System]]=0,2881-tblResults[[#This Row],[Entered System]],tblResults[[#This Row],[Left System]]-tblResults[[#This Row],[Entered System]]+1)</f>
        <v>122</v>
      </c>
      <c r="H146" s="10">
        <f>tblResults[[#This Row],[Idle Time]]/tblResults[[#This Row],[Time in System]]</f>
        <v>0.22950819672131148</v>
      </c>
    </row>
    <row r="147" spans="1:8" x14ac:dyDescent="0.25">
      <c r="A147">
        <v>146</v>
      </c>
      <c r="B147">
        <v>1814</v>
      </c>
      <c r="C147">
        <v>1914</v>
      </c>
      <c r="D147">
        <v>-1</v>
      </c>
      <c r="E147" t="b">
        <v>1</v>
      </c>
      <c r="F147">
        <v>20</v>
      </c>
      <c r="G147">
        <f>IF(tblResults[[#This Row],[Left System]]=0,2881-tblResults[[#This Row],[Entered System]],tblResults[[#This Row],[Left System]]-tblResults[[#This Row],[Entered System]]+1)</f>
        <v>101</v>
      </c>
      <c r="H147" s="10">
        <f>tblResults[[#This Row],[Idle Time]]/tblResults[[#This Row],[Time in System]]</f>
        <v>0.19801980198019803</v>
      </c>
    </row>
    <row r="148" spans="1:8" x14ac:dyDescent="0.25">
      <c r="A148">
        <v>147</v>
      </c>
      <c r="B148">
        <v>1827</v>
      </c>
      <c r="C148">
        <v>1929</v>
      </c>
      <c r="D148">
        <v>-1</v>
      </c>
      <c r="E148" t="b">
        <v>1</v>
      </c>
      <c r="F148">
        <v>30</v>
      </c>
      <c r="G148">
        <f>IF(tblResults[[#This Row],[Left System]]=0,2881-tblResults[[#This Row],[Entered System]],tblResults[[#This Row],[Left System]]-tblResults[[#This Row],[Entered System]]+1)</f>
        <v>103</v>
      </c>
      <c r="H148" s="10">
        <f>tblResults[[#This Row],[Idle Time]]/tblResults[[#This Row],[Time in System]]</f>
        <v>0.29126213592233008</v>
      </c>
    </row>
    <row r="149" spans="1:8" x14ac:dyDescent="0.25">
      <c r="A149">
        <v>148</v>
      </c>
      <c r="B149">
        <v>1842</v>
      </c>
      <c r="C149">
        <v>1942</v>
      </c>
      <c r="D149">
        <v>-1</v>
      </c>
      <c r="E149" t="b">
        <v>1</v>
      </c>
      <c r="F149">
        <v>16</v>
      </c>
      <c r="G149">
        <f>IF(tblResults[[#This Row],[Left System]]=0,2881-tblResults[[#This Row],[Entered System]],tblResults[[#This Row],[Left System]]-tblResults[[#This Row],[Entered System]]+1)</f>
        <v>101</v>
      </c>
      <c r="H149" s="10">
        <f>tblResults[[#This Row],[Idle Time]]/tblResults[[#This Row],[Time in System]]</f>
        <v>0.15841584158415842</v>
      </c>
    </row>
    <row r="150" spans="1:8" x14ac:dyDescent="0.25">
      <c r="A150">
        <v>149</v>
      </c>
      <c r="B150">
        <v>1854</v>
      </c>
      <c r="C150">
        <v>1938</v>
      </c>
      <c r="D150">
        <v>-1</v>
      </c>
      <c r="E150" t="b">
        <v>1</v>
      </c>
      <c r="F150">
        <v>18</v>
      </c>
      <c r="G150">
        <f>IF(tblResults[[#This Row],[Left System]]=0,2881-tblResults[[#This Row],[Entered System]],tblResults[[#This Row],[Left System]]-tblResults[[#This Row],[Entered System]]+1)</f>
        <v>85</v>
      </c>
      <c r="H150" s="10">
        <f>tblResults[[#This Row],[Idle Time]]/tblResults[[#This Row],[Time in System]]</f>
        <v>0.21176470588235294</v>
      </c>
    </row>
    <row r="151" spans="1:8" x14ac:dyDescent="0.25">
      <c r="A151">
        <v>150</v>
      </c>
      <c r="B151">
        <v>1868</v>
      </c>
      <c r="C151">
        <v>1964</v>
      </c>
      <c r="D151">
        <v>-1</v>
      </c>
      <c r="E151" t="b">
        <v>1</v>
      </c>
      <c r="F151">
        <v>12</v>
      </c>
      <c r="G151">
        <f>IF(tblResults[[#This Row],[Left System]]=0,2881-tblResults[[#This Row],[Entered System]],tblResults[[#This Row],[Left System]]-tblResults[[#This Row],[Entered System]]+1)</f>
        <v>97</v>
      </c>
      <c r="H151" s="10">
        <f>tblResults[[#This Row],[Idle Time]]/tblResults[[#This Row],[Time in System]]</f>
        <v>0.12371134020618557</v>
      </c>
    </row>
    <row r="152" spans="1:8" x14ac:dyDescent="0.25">
      <c r="A152">
        <v>151</v>
      </c>
      <c r="B152">
        <v>1886</v>
      </c>
      <c r="C152">
        <v>1974</v>
      </c>
      <c r="D152">
        <v>-1</v>
      </c>
      <c r="E152" t="b">
        <v>1</v>
      </c>
      <c r="F152">
        <v>9</v>
      </c>
      <c r="G152">
        <f>IF(tblResults[[#This Row],[Left System]]=0,2881-tblResults[[#This Row],[Entered System]],tblResults[[#This Row],[Left System]]-tblResults[[#This Row],[Entered System]]+1)</f>
        <v>89</v>
      </c>
      <c r="H152" s="10">
        <f>tblResults[[#This Row],[Idle Time]]/tblResults[[#This Row],[Time in System]]</f>
        <v>0.10112359550561797</v>
      </c>
    </row>
    <row r="153" spans="1:8" x14ac:dyDescent="0.25">
      <c r="A153">
        <v>152</v>
      </c>
      <c r="B153">
        <v>1897</v>
      </c>
      <c r="C153">
        <v>2023</v>
      </c>
      <c r="D153">
        <v>-1</v>
      </c>
      <c r="E153" t="b">
        <v>1</v>
      </c>
      <c r="F153">
        <v>17</v>
      </c>
      <c r="G153">
        <f>IF(tblResults[[#This Row],[Left System]]=0,2881-tblResults[[#This Row],[Entered System]],tblResults[[#This Row],[Left System]]-tblResults[[#This Row],[Entered System]]+1)</f>
        <v>127</v>
      </c>
      <c r="H153" s="10">
        <f>tblResults[[#This Row],[Idle Time]]/tblResults[[#This Row],[Time in System]]</f>
        <v>0.13385826771653545</v>
      </c>
    </row>
    <row r="154" spans="1:8" x14ac:dyDescent="0.25">
      <c r="A154">
        <v>153</v>
      </c>
      <c r="B154">
        <v>1906</v>
      </c>
      <c r="C154">
        <v>2004</v>
      </c>
      <c r="D154">
        <v>-1</v>
      </c>
      <c r="E154" t="b">
        <v>1</v>
      </c>
      <c r="F154">
        <v>15</v>
      </c>
      <c r="G154">
        <f>IF(tblResults[[#This Row],[Left System]]=0,2881-tblResults[[#This Row],[Entered System]],tblResults[[#This Row],[Left System]]-tblResults[[#This Row],[Entered System]]+1)</f>
        <v>99</v>
      </c>
      <c r="H154" s="10">
        <f>tblResults[[#This Row],[Idle Time]]/tblResults[[#This Row],[Time in System]]</f>
        <v>0.15151515151515152</v>
      </c>
    </row>
    <row r="155" spans="1:8" x14ac:dyDescent="0.25">
      <c r="A155">
        <v>154</v>
      </c>
      <c r="B155">
        <v>1922</v>
      </c>
      <c r="C155">
        <v>2012</v>
      </c>
      <c r="D155">
        <v>-1</v>
      </c>
      <c r="E155" t="b">
        <v>1</v>
      </c>
      <c r="F155">
        <v>3</v>
      </c>
      <c r="G155">
        <f>IF(tblResults[[#This Row],[Left System]]=0,2881-tblResults[[#This Row],[Entered System]],tblResults[[#This Row],[Left System]]-tblResults[[#This Row],[Entered System]]+1)</f>
        <v>91</v>
      </c>
      <c r="H155" s="10">
        <f>tblResults[[#This Row],[Idle Time]]/tblResults[[#This Row],[Time in System]]</f>
        <v>3.2967032967032968E-2</v>
      </c>
    </row>
    <row r="156" spans="1:8" x14ac:dyDescent="0.25">
      <c r="A156">
        <v>155</v>
      </c>
      <c r="B156">
        <v>1938</v>
      </c>
      <c r="C156">
        <v>2041</v>
      </c>
      <c r="D156">
        <v>-1</v>
      </c>
      <c r="E156" t="b">
        <v>1</v>
      </c>
      <c r="F156">
        <v>12</v>
      </c>
      <c r="G156">
        <f>IF(tblResults[[#This Row],[Left System]]=0,2881-tblResults[[#This Row],[Entered System]],tblResults[[#This Row],[Left System]]-tblResults[[#This Row],[Entered System]]+1)</f>
        <v>104</v>
      </c>
      <c r="H156" s="10">
        <f>tblResults[[#This Row],[Idle Time]]/tblResults[[#This Row],[Time in System]]</f>
        <v>0.11538461538461539</v>
      </c>
    </row>
    <row r="157" spans="1:8" x14ac:dyDescent="0.25">
      <c r="A157">
        <v>156</v>
      </c>
      <c r="B157">
        <v>1953</v>
      </c>
      <c r="C157">
        <v>2140</v>
      </c>
      <c r="D157">
        <v>-1</v>
      </c>
      <c r="E157" t="b">
        <v>1</v>
      </c>
      <c r="F157">
        <v>91</v>
      </c>
      <c r="G157">
        <f>IF(tblResults[[#This Row],[Left System]]=0,2881-tblResults[[#This Row],[Entered System]],tblResults[[#This Row],[Left System]]-tblResults[[#This Row],[Entered System]]+1)</f>
        <v>188</v>
      </c>
      <c r="H157" s="10">
        <f>tblResults[[#This Row],[Idle Time]]/tblResults[[#This Row],[Time in System]]</f>
        <v>0.48404255319148937</v>
      </c>
    </row>
    <row r="158" spans="1:8" x14ac:dyDescent="0.25">
      <c r="A158">
        <v>157</v>
      </c>
      <c r="B158">
        <v>1959</v>
      </c>
      <c r="C158">
        <v>2052</v>
      </c>
      <c r="D158">
        <v>-1</v>
      </c>
      <c r="E158" t="b">
        <v>1</v>
      </c>
      <c r="F158">
        <v>8</v>
      </c>
      <c r="G158">
        <f>IF(tblResults[[#This Row],[Left System]]=0,2881-tblResults[[#This Row],[Entered System]],tblResults[[#This Row],[Left System]]-tblResults[[#This Row],[Entered System]]+1)</f>
        <v>94</v>
      </c>
      <c r="H158" s="10">
        <f>tblResults[[#This Row],[Idle Time]]/tblResults[[#This Row],[Time in System]]</f>
        <v>8.5106382978723402E-2</v>
      </c>
    </row>
    <row r="159" spans="1:8" x14ac:dyDescent="0.25">
      <c r="A159">
        <v>158</v>
      </c>
      <c r="B159">
        <v>1967</v>
      </c>
      <c r="C159">
        <v>2070</v>
      </c>
      <c r="D159">
        <v>-1</v>
      </c>
      <c r="E159" t="b">
        <v>1</v>
      </c>
      <c r="F159">
        <v>16</v>
      </c>
      <c r="G159">
        <f>IF(tblResults[[#This Row],[Left System]]=0,2881-tblResults[[#This Row],[Entered System]],tblResults[[#This Row],[Left System]]-tblResults[[#This Row],[Entered System]]+1)</f>
        <v>104</v>
      </c>
      <c r="H159" s="10">
        <f>tblResults[[#This Row],[Idle Time]]/tblResults[[#This Row],[Time in System]]</f>
        <v>0.15384615384615385</v>
      </c>
    </row>
    <row r="160" spans="1:8" x14ac:dyDescent="0.25">
      <c r="A160">
        <v>159</v>
      </c>
      <c r="B160">
        <v>1979</v>
      </c>
      <c r="C160">
        <v>2084</v>
      </c>
      <c r="D160">
        <v>-1</v>
      </c>
      <c r="E160" t="b">
        <v>1</v>
      </c>
      <c r="F160">
        <v>35</v>
      </c>
      <c r="G160">
        <f>IF(tblResults[[#This Row],[Left System]]=0,2881-tblResults[[#This Row],[Entered System]],tblResults[[#This Row],[Left System]]-tblResults[[#This Row],[Entered System]]+1)</f>
        <v>106</v>
      </c>
      <c r="H160" s="10">
        <f>tblResults[[#This Row],[Idle Time]]/tblResults[[#This Row],[Time in System]]</f>
        <v>0.330188679245283</v>
      </c>
    </row>
    <row r="161" spans="1:8" x14ac:dyDescent="0.25">
      <c r="A161">
        <v>160</v>
      </c>
      <c r="B161">
        <v>1989</v>
      </c>
      <c r="C161">
        <v>2089</v>
      </c>
      <c r="D161">
        <v>-1</v>
      </c>
      <c r="E161" t="b">
        <v>1</v>
      </c>
      <c r="F161">
        <v>13</v>
      </c>
      <c r="G161">
        <f>IF(tblResults[[#This Row],[Left System]]=0,2881-tblResults[[#This Row],[Entered System]],tblResults[[#This Row],[Left System]]-tblResults[[#This Row],[Entered System]]+1)</f>
        <v>101</v>
      </c>
      <c r="H161" s="10">
        <f>tblResults[[#This Row],[Idle Time]]/tblResults[[#This Row],[Time in System]]</f>
        <v>0.12871287128712872</v>
      </c>
    </row>
    <row r="162" spans="1:8" x14ac:dyDescent="0.25">
      <c r="A162">
        <v>161</v>
      </c>
      <c r="B162">
        <v>1994</v>
      </c>
      <c r="C162">
        <v>2124</v>
      </c>
      <c r="D162">
        <v>-1</v>
      </c>
      <c r="E162" t="b">
        <v>1</v>
      </c>
      <c r="F162">
        <v>30</v>
      </c>
      <c r="G162">
        <f>IF(tblResults[[#This Row],[Left System]]=0,2881-tblResults[[#This Row],[Entered System]],tblResults[[#This Row],[Left System]]-tblResults[[#This Row],[Entered System]]+1)</f>
        <v>131</v>
      </c>
      <c r="H162" s="10">
        <f>tblResults[[#This Row],[Idle Time]]/tblResults[[#This Row],[Time in System]]</f>
        <v>0.22900763358778625</v>
      </c>
    </row>
    <row r="163" spans="1:8" x14ac:dyDescent="0.25">
      <c r="A163">
        <v>162</v>
      </c>
      <c r="B163">
        <v>2003</v>
      </c>
      <c r="C163">
        <v>2151</v>
      </c>
      <c r="D163">
        <v>-1</v>
      </c>
      <c r="E163" t="b">
        <v>1</v>
      </c>
      <c r="F163">
        <v>49</v>
      </c>
      <c r="G163">
        <f>IF(tblResults[[#This Row],[Left System]]=0,2881-tblResults[[#This Row],[Entered System]],tblResults[[#This Row],[Left System]]-tblResults[[#This Row],[Entered System]]+1)</f>
        <v>149</v>
      </c>
      <c r="H163" s="10">
        <f>tblResults[[#This Row],[Idle Time]]/tblResults[[#This Row],[Time in System]]</f>
        <v>0.32885906040268459</v>
      </c>
    </row>
    <row r="164" spans="1:8" x14ac:dyDescent="0.25">
      <c r="A164">
        <v>163</v>
      </c>
      <c r="B164">
        <v>2016</v>
      </c>
      <c r="C164">
        <v>2120</v>
      </c>
      <c r="D164">
        <v>-1</v>
      </c>
      <c r="E164" t="b">
        <v>1</v>
      </c>
      <c r="F164">
        <v>22</v>
      </c>
      <c r="G164">
        <f>IF(tblResults[[#This Row],[Left System]]=0,2881-tblResults[[#This Row],[Entered System]],tblResults[[#This Row],[Left System]]-tblResults[[#This Row],[Entered System]]+1)</f>
        <v>105</v>
      </c>
      <c r="H164" s="10">
        <f>tblResults[[#This Row],[Idle Time]]/tblResults[[#This Row],[Time in System]]</f>
        <v>0.20952380952380953</v>
      </c>
    </row>
    <row r="165" spans="1:8" x14ac:dyDescent="0.25">
      <c r="A165">
        <v>164</v>
      </c>
      <c r="B165">
        <v>2027</v>
      </c>
      <c r="C165">
        <v>2157</v>
      </c>
      <c r="D165">
        <v>-1</v>
      </c>
      <c r="E165" t="b">
        <v>1</v>
      </c>
      <c r="F165">
        <v>33</v>
      </c>
      <c r="G165">
        <f>IF(tblResults[[#This Row],[Left System]]=0,2881-tblResults[[#This Row],[Entered System]],tblResults[[#This Row],[Left System]]-tblResults[[#This Row],[Entered System]]+1)</f>
        <v>131</v>
      </c>
      <c r="H165" s="10">
        <f>tblResults[[#This Row],[Idle Time]]/tblResults[[#This Row],[Time in System]]</f>
        <v>0.25190839694656486</v>
      </c>
    </row>
    <row r="166" spans="1:8" x14ac:dyDescent="0.25">
      <c r="A166">
        <v>165</v>
      </c>
      <c r="B166">
        <v>2037</v>
      </c>
      <c r="C166">
        <v>2174</v>
      </c>
      <c r="D166">
        <v>-1</v>
      </c>
      <c r="E166" t="b">
        <v>1</v>
      </c>
      <c r="F166">
        <v>56</v>
      </c>
      <c r="G166">
        <f>IF(tblResults[[#This Row],[Left System]]=0,2881-tblResults[[#This Row],[Entered System]],tblResults[[#This Row],[Left System]]-tblResults[[#This Row],[Entered System]]+1)</f>
        <v>138</v>
      </c>
      <c r="H166" s="10">
        <f>tblResults[[#This Row],[Idle Time]]/tblResults[[#This Row],[Time in System]]</f>
        <v>0.40579710144927539</v>
      </c>
    </row>
    <row r="167" spans="1:8" x14ac:dyDescent="0.25">
      <c r="A167">
        <v>166</v>
      </c>
      <c r="B167">
        <v>2053</v>
      </c>
      <c r="C167">
        <v>2189</v>
      </c>
      <c r="D167">
        <v>-1</v>
      </c>
      <c r="E167" t="b">
        <v>1</v>
      </c>
      <c r="F167">
        <v>55</v>
      </c>
      <c r="G167">
        <f>IF(tblResults[[#This Row],[Left System]]=0,2881-tblResults[[#This Row],[Entered System]],tblResults[[#This Row],[Left System]]-tblResults[[#This Row],[Entered System]]+1)</f>
        <v>137</v>
      </c>
      <c r="H167" s="10">
        <f>tblResults[[#This Row],[Idle Time]]/tblResults[[#This Row],[Time in System]]</f>
        <v>0.40145985401459855</v>
      </c>
    </row>
    <row r="168" spans="1:8" x14ac:dyDescent="0.25">
      <c r="A168">
        <v>167</v>
      </c>
      <c r="B168">
        <v>2069</v>
      </c>
      <c r="C168">
        <v>2200</v>
      </c>
      <c r="D168">
        <v>-1</v>
      </c>
      <c r="E168" t="b">
        <v>1</v>
      </c>
      <c r="F168">
        <v>21</v>
      </c>
      <c r="G168">
        <f>IF(tblResults[[#This Row],[Left System]]=0,2881-tblResults[[#This Row],[Entered System]],tblResults[[#This Row],[Left System]]-tblResults[[#This Row],[Entered System]]+1)</f>
        <v>132</v>
      </c>
      <c r="H168" s="10">
        <f>tblResults[[#This Row],[Idle Time]]/tblResults[[#This Row],[Time in System]]</f>
        <v>0.15909090909090909</v>
      </c>
    </row>
    <row r="169" spans="1:8" x14ac:dyDescent="0.25">
      <c r="A169">
        <v>168</v>
      </c>
      <c r="B169">
        <v>2086</v>
      </c>
      <c r="C169">
        <v>2203</v>
      </c>
      <c r="D169">
        <v>-1</v>
      </c>
      <c r="E169" t="b">
        <v>1</v>
      </c>
      <c r="F169">
        <v>45</v>
      </c>
      <c r="G169">
        <f>IF(tblResults[[#This Row],[Left System]]=0,2881-tblResults[[#This Row],[Entered System]],tblResults[[#This Row],[Left System]]-tblResults[[#This Row],[Entered System]]+1)</f>
        <v>118</v>
      </c>
      <c r="H169" s="10">
        <f>tblResults[[#This Row],[Idle Time]]/tblResults[[#This Row],[Time in System]]</f>
        <v>0.38135593220338981</v>
      </c>
    </row>
    <row r="170" spans="1:8" x14ac:dyDescent="0.25">
      <c r="A170">
        <v>169</v>
      </c>
      <c r="B170">
        <v>2096</v>
      </c>
      <c r="C170">
        <v>2205</v>
      </c>
      <c r="D170">
        <v>-1</v>
      </c>
      <c r="E170" t="b">
        <v>1</v>
      </c>
      <c r="F170">
        <v>39</v>
      </c>
      <c r="G170">
        <f>IF(tblResults[[#This Row],[Left System]]=0,2881-tblResults[[#This Row],[Entered System]],tblResults[[#This Row],[Left System]]-tblResults[[#This Row],[Entered System]]+1)</f>
        <v>110</v>
      </c>
      <c r="H170" s="10">
        <f>tblResults[[#This Row],[Idle Time]]/tblResults[[#This Row],[Time in System]]</f>
        <v>0.35454545454545455</v>
      </c>
    </row>
    <row r="171" spans="1:8" x14ac:dyDescent="0.25">
      <c r="A171">
        <v>170</v>
      </c>
      <c r="B171">
        <v>2112</v>
      </c>
      <c r="C171">
        <v>2222</v>
      </c>
      <c r="D171">
        <v>-1</v>
      </c>
      <c r="E171" t="b">
        <v>1</v>
      </c>
      <c r="F171">
        <v>38</v>
      </c>
      <c r="G171">
        <f>IF(tblResults[[#This Row],[Left System]]=0,2881-tblResults[[#This Row],[Entered System]],tblResults[[#This Row],[Left System]]-tblResults[[#This Row],[Entered System]]+1)</f>
        <v>111</v>
      </c>
      <c r="H171" s="10">
        <f>tblResults[[#This Row],[Idle Time]]/tblResults[[#This Row],[Time in System]]</f>
        <v>0.34234234234234234</v>
      </c>
    </row>
    <row r="172" spans="1:8" x14ac:dyDescent="0.25">
      <c r="A172">
        <v>171</v>
      </c>
      <c r="B172">
        <v>2123</v>
      </c>
      <c r="C172">
        <v>2245</v>
      </c>
      <c r="D172">
        <v>-1</v>
      </c>
      <c r="E172" t="b">
        <v>1</v>
      </c>
      <c r="F172">
        <v>25</v>
      </c>
      <c r="G172">
        <f>IF(tblResults[[#This Row],[Left System]]=0,2881-tblResults[[#This Row],[Entered System]],tblResults[[#This Row],[Left System]]-tblResults[[#This Row],[Entered System]]+1)</f>
        <v>123</v>
      </c>
      <c r="H172" s="10">
        <f>tblResults[[#This Row],[Idle Time]]/tblResults[[#This Row],[Time in System]]</f>
        <v>0.2032520325203252</v>
      </c>
    </row>
    <row r="173" spans="1:8" x14ac:dyDescent="0.25">
      <c r="A173">
        <v>172</v>
      </c>
      <c r="B173">
        <v>2134</v>
      </c>
      <c r="C173">
        <v>2263</v>
      </c>
      <c r="D173">
        <v>-1</v>
      </c>
      <c r="E173" t="b">
        <v>1</v>
      </c>
      <c r="F173">
        <v>37</v>
      </c>
      <c r="G173">
        <f>IF(tblResults[[#This Row],[Left System]]=0,2881-tblResults[[#This Row],[Entered System]],tblResults[[#This Row],[Left System]]-tblResults[[#This Row],[Entered System]]+1)</f>
        <v>130</v>
      </c>
      <c r="H173" s="10">
        <f>tblResults[[#This Row],[Idle Time]]/tblResults[[#This Row],[Time in System]]</f>
        <v>0.2846153846153846</v>
      </c>
    </row>
    <row r="174" spans="1:8" x14ac:dyDescent="0.25">
      <c r="A174">
        <v>173</v>
      </c>
      <c r="B174">
        <v>2149</v>
      </c>
      <c r="C174">
        <v>2278</v>
      </c>
      <c r="D174">
        <v>-1</v>
      </c>
      <c r="E174" t="b">
        <v>1</v>
      </c>
      <c r="F174">
        <v>26</v>
      </c>
      <c r="G174">
        <f>IF(tblResults[[#This Row],[Left System]]=0,2881-tblResults[[#This Row],[Entered System]],tblResults[[#This Row],[Left System]]-tblResults[[#This Row],[Entered System]]+1)</f>
        <v>130</v>
      </c>
      <c r="H174" s="10">
        <f>tblResults[[#This Row],[Idle Time]]/tblResults[[#This Row],[Time in System]]</f>
        <v>0.2</v>
      </c>
    </row>
    <row r="175" spans="1:8" x14ac:dyDescent="0.25">
      <c r="A175">
        <v>174</v>
      </c>
      <c r="B175">
        <v>2160</v>
      </c>
      <c r="C175">
        <v>2297</v>
      </c>
      <c r="D175">
        <v>-1</v>
      </c>
      <c r="E175" t="b">
        <v>1</v>
      </c>
      <c r="F175">
        <v>28</v>
      </c>
      <c r="G175">
        <f>IF(tblResults[[#This Row],[Left System]]=0,2881-tblResults[[#This Row],[Entered System]],tblResults[[#This Row],[Left System]]-tblResults[[#This Row],[Entered System]]+1)</f>
        <v>138</v>
      </c>
      <c r="H175" s="10">
        <f>tblResults[[#This Row],[Idle Time]]/tblResults[[#This Row],[Time in System]]</f>
        <v>0.20289855072463769</v>
      </c>
    </row>
    <row r="176" spans="1:8" x14ac:dyDescent="0.25">
      <c r="A176">
        <v>175</v>
      </c>
      <c r="B176">
        <v>2173</v>
      </c>
      <c r="C176">
        <v>2296</v>
      </c>
      <c r="D176">
        <v>-1</v>
      </c>
      <c r="E176" t="b">
        <v>1</v>
      </c>
      <c r="F176">
        <v>45</v>
      </c>
      <c r="G176">
        <f>IF(tblResults[[#This Row],[Left System]]=0,2881-tblResults[[#This Row],[Entered System]],tblResults[[#This Row],[Left System]]-tblResults[[#This Row],[Entered System]]+1)</f>
        <v>124</v>
      </c>
      <c r="H176" s="10">
        <f>tblResults[[#This Row],[Idle Time]]/tblResults[[#This Row],[Time in System]]</f>
        <v>0.36290322580645162</v>
      </c>
    </row>
    <row r="177" spans="1:8" x14ac:dyDescent="0.25">
      <c r="A177">
        <v>176</v>
      </c>
      <c r="B177">
        <v>2183</v>
      </c>
      <c r="C177">
        <v>2317</v>
      </c>
      <c r="D177">
        <v>-1</v>
      </c>
      <c r="E177" t="b">
        <v>1</v>
      </c>
      <c r="F177">
        <v>41</v>
      </c>
      <c r="G177">
        <f>IF(tblResults[[#This Row],[Left System]]=0,2881-tblResults[[#This Row],[Entered System]],tblResults[[#This Row],[Left System]]-tblResults[[#This Row],[Entered System]]+1)</f>
        <v>135</v>
      </c>
      <c r="H177" s="10">
        <f>tblResults[[#This Row],[Idle Time]]/tblResults[[#This Row],[Time in System]]</f>
        <v>0.3037037037037037</v>
      </c>
    </row>
    <row r="178" spans="1:8" x14ac:dyDescent="0.25">
      <c r="A178">
        <v>177</v>
      </c>
      <c r="B178">
        <v>2189</v>
      </c>
      <c r="C178">
        <v>2316</v>
      </c>
      <c r="D178">
        <v>-1</v>
      </c>
      <c r="E178" t="b">
        <v>1</v>
      </c>
      <c r="F178">
        <v>57</v>
      </c>
      <c r="G178">
        <f>IF(tblResults[[#This Row],[Left System]]=0,2881-tblResults[[#This Row],[Entered System]],tblResults[[#This Row],[Left System]]-tblResults[[#This Row],[Entered System]]+1)</f>
        <v>128</v>
      </c>
      <c r="H178" s="10">
        <f>tblResults[[#This Row],[Idle Time]]/tblResults[[#This Row],[Time in System]]</f>
        <v>0.4453125</v>
      </c>
    </row>
    <row r="179" spans="1:8" x14ac:dyDescent="0.25">
      <c r="A179">
        <v>178</v>
      </c>
      <c r="B179">
        <v>2204</v>
      </c>
      <c r="C179">
        <v>2344</v>
      </c>
      <c r="D179">
        <v>-1</v>
      </c>
      <c r="E179" t="b">
        <v>1</v>
      </c>
      <c r="F179">
        <v>66</v>
      </c>
      <c r="G179">
        <f>IF(tblResults[[#This Row],[Left System]]=0,2881-tblResults[[#This Row],[Entered System]],tblResults[[#This Row],[Left System]]-tblResults[[#This Row],[Entered System]]+1)</f>
        <v>141</v>
      </c>
      <c r="H179" s="10">
        <f>tblResults[[#This Row],[Idle Time]]/tblResults[[#This Row],[Time in System]]</f>
        <v>0.46808510638297873</v>
      </c>
    </row>
    <row r="180" spans="1:8" x14ac:dyDescent="0.25">
      <c r="A180">
        <v>179</v>
      </c>
      <c r="B180">
        <v>2219</v>
      </c>
      <c r="C180">
        <v>2351</v>
      </c>
      <c r="D180">
        <v>-1</v>
      </c>
      <c r="E180" t="b">
        <v>1</v>
      </c>
      <c r="F180">
        <v>45</v>
      </c>
      <c r="G180">
        <f>IF(tblResults[[#This Row],[Left System]]=0,2881-tblResults[[#This Row],[Entered System]],tblResults[[#This Row],[Left System]]-tblResults[[#This Row],[Entered System]]+1)</f>
        <v>133</v>
      </c>
      <c r="H180" s="10">
        <f>tblResults[[#This Row],[Idle Time]]/tblResults[[#This Row],[Time in System]]</f>
        <v>0.33834586466165412</v>
      </c>
    </row>
    <row r="181" spans="1:8" x14ac:dyDescent="0.25">
      <c r="A181">
        <v>180</v>
      </c>
      <c r="B181">
        <v>2233</v>
      </c>
      <c r="C181">
        <v>2372</v>
      </c>
      <c r="D181">
        <v>-1</v>
      </c>
      <c r="E181" t="b">
        <v>1</v>
      </c>
      <c r="F181">
        <v>45</v>
      </c>
      <c r="G181">
        <f>IF(tblResults[[#This Row],[Left System]]=0,2881-tblResults[[#This Row],[Entered System]],tblResults[[#This Row],[Left System]]-tblResults[[#This Row],[Entered System]]+1)</f>
        <v>140</v>
      </c>
      <c r="H181" s="10">
        <f>tblResults[[#This Row],[Idle Time]]/tblResults[[#This Row],[Time in System]]</f>
        <v>0.32142857142857145</v>
      </c>
    </row>
    <row r="182" spans="1:8" x14ac:dyDescent="0.25">
      <c r="A182">
        <v>181</v>
      </c>
      <c r="B182">
        <v>2244</v>
      </c>
      <c r="C182">
        <v>2383</v>
      </c>
      <c r="D182">
        <v>-1</v>
      </c>
      <c r="E182" t="b">
        <v>1</v>
      </c>
      <c r="F182">
        <v>54</v>
      </c>
      <c r="G182">
        <f>IF(tblResults[[#This Row],[Left System]]=0,2881-tblResults[[#This Row],[Entered System]],tblResults[[#This Row],[Left System]]-tblResults[[#This Row],[Entered System]]+1)</f>
        <v>140</v>
      </c>
      <c r="H182" s="10">
        <f>tblResults[[#This Row],[Idle Time]]/tblResults[[#This Row],[Time in System]]</f>
        <v>0.38571428571428573</v>
      </c>
    </row>
    <row r="183" spans="1:8" x14ac:dyDescent="0.25">
      <c r="A183">
        <v>182</v>
      </c>
      <c r="B183">
        <v>2251</v>
      </c>
      <c r="C183">
        <v>2383</v>
      </c>
      <c r="D183">
        <v>-1</v>
      </c>
      <c r="E183" t="b">
        <v>1</v>
      </c>
      <c r="F183">
        <v>56</v>
      </c>
      <c r="G183">
        <f>IF(tblResults[[#This Row],[Left System]]=0,2881-tblResults[[#This Row],[Entered System]],tblResults[[#This Row],[Left System]]-tblResults[[#This Row],[Entered System]]+1)</f>
        <v>133</v>
      </c>
      <c r="H183" s="10">
        <f>tblResults[[#This Row],[Idle Time]]/tblResults[[#This Row],[Time in System]]</f>
        <v>0.42105263157894735</v>
      </c>
    </row>
    <row r="184" spans="1:8" x14ac:dyDescent="0.25">
      <c r="A184">
        <v>183</v>
      </c>
      <c r="B184">
        <v>2259</v>
      </c>
      <c r="C184">
        <v>2405</v>
      </c>
      <c r="D184">
        <v>-1</v>
      </c>
      <c r="E184" t="b">
        <v>1</v>
      </c>
      <c r="F184">
        <v>72</v>
      </c>
      <c r="G184">
        <f>IF(tblResults[[#This Row],[Left System]]=0,2881-tblResults[[#This Row],[Entered System]],tblResults[[#This Row],[Left System]]-tblResults[[#This Row],[Entered System]]+1)</f>
        <v>147</v>
      </c>
      <c r="H184" s="10">
        <f>tblResults[[#This Row],[Idle Time]]/tblResults[[#This Row],[Time in System]]</f>
        <v>0.48979591836734693</v>
      </c>
    </row>
    <row r="185" spans="1:8" x14ac:dyDescent="0.25">
      <c r="A185">
        <v>184</v>
      </c>
      <c r="B185">
        <v>2272</v>
      </c>
      <c r="C185">
        <v>2413</v>
      </c>
      <c r="D185">
        <v>-1</v>
      </c>
      <c r="E185" t="b">
        <v>1</v>
      </c>
      <c r="F185">
        <v>70</v>
      </c>
      <c r="G185">
        <f>IF(tblResults[[#This Row],[Left System]]=0,2881-tblResults[[#This Row],[Entered System]],tblResults[[#This Row],[Left System]]-tblResults[[#This Row],[Entered System]]+1)</f>
        <v>142</v>
      </c>
      <c r="H185" s="10">
        <f>tblResults[[#This Row],[Idle Time]]/tblResults[[#This Row],[Time in System]]</f>
        <v>0.49295774647887325</v>
      </c>
    </row>
    <row r="186" spans="1:8" x14ac:dyDescent="0.25">
      <c r="A186">
        <v>185</v>
      </c>
      <c r="B186">
        <v>2277</v>
      </c>
      <c r="C186">
        <v>2425</v>
      </c>
      <c r="D186">
        <v>-1</v>
      </c>
      <c r="E186" t="b">
        <v>1</v>
      </c>
      <c r="F186">
        <v>58</v>
      </c>
      <c r="G186">
        <f>IF(tblResults[[#This Row],[Left System]]=0,2881-tblResults[[#This Row],[Entered System]],tblResults[[#This Row],[Left System]]-tblResults[[#This Row],[Entered System]]+1)</f>
        <v>149</v>
      </c>
      <c r="H186" s="10">
        <f>tblResults[[#This Row],[Idle Time]]/tblResults[[#This Row],[Time in System]]</f>
        <v>0.38926174496644295</v>
      </c>
    </row>
    <row r="187" spans="1:8" x14ac:dyDescent="0.25">
      <c r="A187">
        <v>186</v>
      </c>
      <c r="B187">
        <v>2292</v>
      </c>
      <c r="C187">
        <v>2443</v>
      </c>
      <c r="D187">
        <v>-1</v>
      </c>
      <c r="E187" t="b">
        <v>1</v>
      </c>
      <c r="F187">
        <v>77</v>
      </c>
      <c r="G187">
        <f>IF(tblResults[[#This Row],[Left System]]=0,2881-tblResults[[#This Row],[Entered System]],tblResults[[#This Row],[Left System]]-tblResults[[#This Row],[Entered System]]+1)</f>
        <v>152</v>
      </c>
      <c r="H187" s="10">
        <f>tblResults[[#This Row],[Idle Time]]/tblResults[[#This Row],[Time in System]]</f>
        <v>0.50657894736842102</v>
      </c>
    </row>
    <row r="188" spans="1:8" x14ac:dyDescent="0.25">
      <c r="A188">
        <v>187</v>
      </c>
      <c r="B188">
        <v>2308</v>
      </c>
      <c r="C188">
        <v>2463</v>
      </c>
      <c r="D188">
        <v>-1</v>
      </c>
      <c r="E188" t="b">
        <v>1</v>
      </c>
      <c r="F188">
        <v>60</v>
      </c>
      <c r="G188">
        <f>IF(tblResults[[#This Row],[Left System]]=0,2881-tblResults[[#This Row],[Entered System]],tblResults[[#This Row],[Left System]]-tblResults[[#This Row],[Entered System]]+1)</f>
        <v>156</v>
      </c>
      <c r="H188" s="10">
        <f>tblResults[[#This Row],[Idle Time]]/tblResults[[#This Row],[Time in System]]</f>
        <v>0.38461538461538464</v>
      </c>
    </row>
    <row r="189" spans="1:8" x14ac:dyDescent="0.25">
      <c r="A189">
        <v>188</v>
      </c>
      <c r="B189">
        <v>2319</v>
      </c>
      <c r="C189">
        <v>2452</v>
      </c>
      <c r="D189">
        <v>-1</v>
      </c>
      <c r="E189" t="b">
        <v>1</v>
      </c>
      <c r="F189">
        <v>53</v>
      </c>
      <c r="G189">
        <f>IF(tblResults[[#This Row],[Left System]]=0,2881-tblResults[[#This Row],[Entered System]],tblResults[[#This Row],[Left System]]-tblResults[[#This Row],[Entered System]]+1)</f>
        <v>134</v>
      </c>
      <c r="H189" s="10">
        <f>tblResults[[#This Row],[Idle Time]]/tblResults[[#This Row],[Time in System]]</f>
        <v>0.39552238805970147</v>
      </c>
    </row>
    <row r="190" spans="1:8" x14ac:dyDescent="0.25">
      <c r="A190">
        <v>189</v>
      </c>
      <c r="B190">
        <v>2333</v>
      </c>
      <c r="C190">
        <v>2483</v>
      </c>
      <c r="D190">
        <v>-1</v>
      </c>
      <c r="E190" t="b">
        <v>1</v>
      </c>
      <c r="F190">
        <v>52</v>
      </c>
      <c r="G190">
        <f>IF(tblResults[[#This Row],[Left System]]=0,2881-tblResults[[#This Row],[Entered System]],tblResults[[#This Row],[Left System]]-tblResults[[#This Row],[Entered System]]+1)</f>
        <v>151</v>
      </c>
      <c r="H190" s="10">
        <f>tblResults[[#This Row],[Idle Time]]/tblResults[[#This Row],[Time in System]]</f>
        <v>0.3443708609271523</v>
      </c>
    </row>
    <row r="191" spans="1:8" x14ac:dyDescent="0.25">
      <c r="A191">
        <v>190</v>
      </c>
      <c r="B191">
        <v>2342</v>
      </c>
      <c r="C191">
        <v>2497</v>
      </c>
      <c r="D191">
        <v>-1</v>
      </c>
      <c r="E191" t="b">
        <v>1</v>
      </c>
      <c r="F191">
        <v>61</v>
      </c>
      <c r="G191">
        <f>IF(tblResults[[#This Row],[Left System]]=0,2881-tblResults[[#This Row],[Entered System]],tblResults[[#This Row],[Left System]]-tblResults[[#This Row],[Entered System]]+1)</f>
        <v>156</v>
      </c>
      <c r="H191" s="10">
        <f>tblResults[[#This Row],[Idle Time]]/tblResults[[#This Row],[Time in System]]</f>
        <v>0.39102564102564102</v>
      </c>
    </row>
    <row r="192" spans="1:8" x14ac:dyDescent="0.25">
      <c r="A192">
        <v>191</v>
      </c>
      <c r="B192">
        <v>2351</v>
      </c>
      <c r="C192">
        <v>2488</v>
      </c>
      <c r="D192">
        <v>-1</v>
      </c>
      <c r="E192" t="b">
        <v>1</v>
      </c>
      <c r="F192">
        <v>34</v>
      </c>
      <c r="G192">
        <f>IF(tblResults[[#This Row],[Left System]]=0,2881-tblResults[[#This Row],[Entered System]],tblResults[[#This Row],[Left System]]-tblResults[[#This Row],[Entered System]]+1)</f>
        <v>138</v>
      </c>
      <c r="H192" s="10">
        <f>tblResults[[#This Row],[Idle Time]]/tblResults[[#This Row],[Time in System]]</f>
        <v>0.24637681159420291</v>
      </c>
    </row>
    <row r="193" spans="1:8" x14ac:dyDescent="0.25">
      <c r="A193">
        <v>192</v>
      </c>
      <c r="B193">
        <v>2368</v>
      </c>
      <c r="C193">
        <v>2506</v>
      </c>
      <c r="D193">
        <v>-1</v>
      </c>
      <c r="E193" t="b">
        <v>1</v>
      </c>
      <c r="F193">
        <v>51</v>
      </c>
      <c r="G193">
        <f>IF(tblResults[[#This Row],[Left System]]=0,2881-tblResults[[#This Row],[Entered System]],tblResults[[#This Row],[Left System]]-tblResults[[#This Row],[Entered System]]+1)</f>
        <v>139</v>
      </c>
      <c r="H193" s="10">
        <f>tblResults[[#This Row],[Idle Time]]/tblResults[[#This Row],[Time in System]]</f>
        <v>0.36690647482014388</v>
      </c>
    </row>
    <row r="194" spans="1:8" x14ac:dyDescent="0.25">
      <c r="A194">
        <v>193</v>
      </c>
      <c r="B194">
        <v>2381</v>
      </c>
      <c r="C194">
        <v>2521</v>
      </c>
      <c r="D194">
        <v>-1</v>
      </c>
      <c r="E194" t="b">
        <v>1</v>
      </c>
      <c r="F194">
        <v>64</v>
      </c>
      <c r="G194">
        <f>IF(tblResults[[#This Row],[Left System]]=0,2881-tblResults[[#This Row],[Entered System]],tblResults[[#This Row],[Left System]]-tblResults[[#This Row],[Entered System]]+1)</f>
        <v>141</v>
      </c>
      <c r="H194" s="10">
        <f>tblResults[[#This Row],[Idle Time]]/tblResults[[#This Row],[Time in System]]</f>
        <v>0.45390070921985815</v>
      </c>
    </row>
    <row r="195" spans="1:8" x14ac:dyDescent="0.25">
      <c r="A195">
        <v>194</v>
      </c>
      <c r="B195">
        <v>2401</v>
      </c>
      <c r="C195">
        <v>2531</v>
      </c>
      <c r="D195">
        <v>-1</v>
      </c>
      <c r="E195" t="b">
        <v>1</v>
      </c>
      <c r="F195">
        <v>49</v>
      </c>
      <c r="G195">
        <f>IF(tblResults[[#This Row],[Left System]]=0,2881-tblResults[[#This Row],[Entered System]],tblResults[[#This Row],[Left System]]-tblResults[[#This Row],[Entered System]]+1)</f>
        <v>131</v>
      </c>
      <c r="H195" s="10">
        <f>tblResults[[#This Row],[Idle Time]]/tblResults[[#This Row],[Time in System]]</f>
        <v>0.37404580152671757</v>
      </c>
    </row>
    <row r="196" spans="1:8" x14ac:dyDescent="0.25">
      <c r="A196">
        <v>195</v>
      </c>
      <c r="B196">
        <v>2413</v>
      </c>
      <c r="C196">
        <v>2539</v>
      </c>
      <c r="D196">
        <v>-1</v>
      </c>
      <c r="E196" t="b">
        <v>1</v>
      </c>
      <c r="F196">
        <v>47</v>
      </c>
      <c r="G196">
        <f>IF(tblResults[[#This Row],[Left System]]=0,2881-tblResults[[#This Row],[Entered System]],tblResults[[#This Row],[Left System]]-tblResults[[#This Row],[Entered System]]+1)</f>
        <v>127</v>
      </c>
      <c r="H196" s="10">
        <f>tblResults[[#This Row],[Idle Time]]/tblResults[[#This Row],[Time in System]]</f>
        <v>0.37007874015748032</v>
      </c>
    </row>
    <row r="197" spans="1:8" x14ac:dyDescent="0.25">
      <c r="A197">
        <v>196</v>
      </c>
      <c r="B197">
        <v>2425</v>
      </c>
      <c r="C197">
        <v>2560</v>
      </c>
      <c r="D197">
        <v>-1</v>
      </c>
      <c r="E197" t="b">
        <v>1</v>
      </c>
      <c r="F197">
        <v>37</v>
      </c>
      <c r="G197">
        <f>IF(tblResults[[#This Row],[Left System]]=0,2881-tblResults[[#This Row],[Entered System]],tblResults[[#This Row],[Left System]]-tblResults[[#This Row],[Entered System]]+1)</f>
        <v>136</v>
      </c>
      <c r="H197" s="10">
        <f>tblResults[[#This Row],[Idle Time]]/tblResults[[#This Row],[Time in System]]</f>
        <v>0.27205882352941174</v>
      </c>
    </row>
    <row r="198" spans="1:8" x14ac:dyDescent="0.25">
      <c r="A198">
        <v>197</v>
      </c>
      <c r="B198">
        <v>2437</v>
      </c>
      <c r="C198">
        <v>2598</v>
      </c>
      <c r="D198">
        <v>-1</v>
      </c>
      <c r="E198" t="b">
        <v>1</v>
      </c>
      <c r="F198">
        <v>29</v>
      </c>
      <c r="G198">
        <f>IF(tblResults[[#This Row],[Left System]]=0,2881-tblResults[[#This Row],[Entered System]],tblResults[[#This Row],[Left System]]-tblResults[[#This Row],[Entered System]]+1)</f>
        <v>162</v>
      </c>
      <c r="H198" s="10">
        <f>tblResults[[#This Row],[Idle Time]]/tblResults[[#This Row],[Time in System]]</f>
        <v>0.17901234567901234</v>
      </c>
    </row>
    <row r="199" spans="1:8" x14ac:dyDescent="0.25">
      <c r="A199">
        <v>198</v>
      </c>
      <c r="B199">
        <v>2446</v>
      </c>
      <c r="C199">
        <v>2571</v>
      </c>
      <c r="D199">
        <v>-1</v>
      </c>
      <c r="E199" t="b">
        <v>1</v>
      </c>
      <c r="F199">
        <v>39</v>
      </c>
      <c r="G199">
        <f>IF(tblResults[[#This Row],[Left System]]=0,2881-tblResults[[#This Row],[Entered System]],tblResults[[#This Row],[Left System]]-tblResults[[#This Row],[Entered System]]+1)</f>
        <v>126</v>
      </c>
      <c r="H199" s="10">
        <f>tblResults[[#This Row],[Idle Time]]/tblResults[[#This Row],[Time in System]]</f>
        <v>0.30952380952380953</v>
      </c>
    </row>
    <row r="200" spans="1:8" x14ac:dyDescent="0.25">
      <c r="A200">
        <v>199</v>
      </c>
      <c r="B200">
        <v>2460</v>
      </c>
      <c r="C200">
        <v>2581</v>
      </c>
      <c r="D200">
        <v>-1</v>
      </c>
      <c r="E200" t="b">
        <v>1</v>
      </c>
      <c r="F200">
        <v>31</v>
      </c>
      <c r="G200">
        <f>IF(tblResults[[#This Row],[Left System]]=0,2881-tblResults[[#This Row],[Entered System]],tblResults[[#This Row],[Left System]]-tblResults[[#This Row],[Entered System]]+1)</f>
        <v>122</v>
      </c>
      <c r="H200" s="10">
        <f>tblResults[[#This Row],[Idle Time]]/tblResults[[#This Row],[Time in System]]</f>
        <v>0.25409836065573771</v>
      </c>
    </row>
    <row r="201" spans="1:8" x14ac:dyDescent="0.25">
      <c r="A201">
        <v>200</v>
      </c>
      <c r="B201">
        <v>2475</v>
      </c>
      <c r="C201">
        <v>2602</v>
      </c>
      <c r="D201">
        <v>-1</v>
      </c>
      <c r="E201" t="b">
        <v>1</v>
      </c>
      <c r="F201">
        <v>39</v>
      </c>
      <c r="G201">
        <f>IF(tblResults[[#This Row],[Left System]]=0,2881-tblResults[[#This Row],[Entered System]],tblResults[[#This Row],[Left System]]-tblResults[[#This Row],[Entered System]]+1)</f>
        <v>128</v>
      </c>
      <c r="H201" s="10">
        <f>tblResults[[#This Row],[Idle Time]]/tblResults[[#This Row],[Time in System]]</f>
        <v>0.3046875</v>
      </c>
    </row>
    <row r="202" spans="1:8" x14ac:dyDescent="0.25">
      <c r="A202">
        <v>201</v>
      </c>
      <c r="B202">
        <v>2489</v>
      </c>
      <c r="C202">
        <v>2602</v>
      </c>
      <c r="D202">
        <v>-1</v>
      </c>
      <c r="E202" t="b">
        <v>1</v>
      </c>
      <c r="F202">
        <v>34</v>
      </c>
      <c r="G202">
        <f>IF(tblResults[[#This Row],[Left System]]=0,2881-tblResults[[#This Row],[Entered System]],tblResults[[#This Row],[Left System]]-tblResults[[#This Row],[Entered System]]+1)</f>
        <v>114</v>
      </c>
      <c r="H202" s="10">
        <f>tblResults[[#This Row],[Idle Time]]/tblResults[[#This Row],[Time in System]]</f>
        <v>0.2982456140350877</v>
      </c>
    </row>
    <row r="203" spans="1:8" x14ac:dyDescent="0.25">
      <c r="A203">
        <v>202</v>
      </c>
      <c r="B203">
        <v>2505</v>
      </c>
      <c r="C203">
        <v>2621</v>
      </c>
      <c r="D203">
        <v>-1</v>
      </c>
      <c r="E203" t="b">
        <v>1</v>
      </c>
      <c r="F203">
        <v>19</v>
      </c>
      <c r="G203">
        <f>IF(tblResults[[#This Row],[Left System]]=0,2881-tblResults[[#This Row],[Entered System]],tblResults[[#This Row],[Left System]]-tblResults[[#This Row],[Entered System]]+1)</f>
        <v>117</v>
      </c>
      <c r="H203" s="10">
        <f>tblResults[[#This Row],[Idle Time]]/tblResults[[#This Row],[Time in System]]</f>
        <v>0.1623931623931624</v>
      </c>
    </row>
    <row r="204" spans="1:8" x14ac:dyDescent="0.25">
      <c r="A204">
        <v>203</v>
      </c>
      <c r="B204">
        <v>2512</v>
      </c>
      <c r="C204">
        <v>2640</v>
      </c>
      <c r="D204">
        <v>-1</v>
      </c>
      <c r="E204" t="b">
        <v>1</v>
      </c>
      <c r="F204">
        <v>42</v>
      </c>
      <c r="G204">
        <f>IF(tblResults[[#This Row],[Left System]]=0,2881-tblResults[[#This Row],[Entered System]],tblResults[[#This Row],[Left System]]-tblResults[[#This Row],[Entered System]]+1)</f>
        <v>129</v>
      </c>
      <c r="H204" s="10">
        <f>tblResults[[#This Row],[Idle Time]]/tblResults[[#This Row],[Time in System]]</f>
        <v>0.32558139534883723</v>
      </c>
    </row>
    <row r="205" spans="1:8" x14ac:dyDescent="0.25">
      <c r="A205">
        <v>204</v>
      </c>
      <c r="B205">
        <v>2524</v>
      </c>
      <c r="C205">
        <v>2645</v>
      </c>
      <c r="D205">
        <v>-1</v>
      </c>
      <c r="E205" t="b">
        <v>1</v>
      </c>
      <c r="F205">
        <v>54</v>
      </c>
      <c r="G205">
        <f>IF(tblResults[[#This Row],[Left System]]=0,2881-tblResults[[#This Row],[Entered System]],tblResults[[#This Row],[Left System]]-tblResults[[#This Row],[Entered System]]+1)</f>
        <v>122</v>
      </c>
      <c r="H205" s="10">
        <f>tblResults[[#This Row],[Idle Time]]/tblResults[[#This Row],[Time in System]]</f>
        <v>0.44262295081967212</v>
      </c>
    </row>
    <row r="206" spans="1:8" x14ac:dyDescent="0.25">
      <c r="A206">
        <v>205</v>
      </c>
      <c r="B206">
        <v>2531</v>
      </c>
      <c r="C206">
        <v>2658</v>
      </c>
      <c r="D206">
        <v>-1</v>
      </c>
      <c r="E206" t="b">
        <v>1</v>
      </c>
      <c r="F206">
        <v>65</v>
      </c>
      <c r="G206">
        <f>IF(tblResults[[#This Row],[Left System]]=0,2881-tblResults[[#This Row],[Entered System]],tblResults[[#This Row],[Left System]]-tblResults[[#This Row],[Entered System]]+1)</f>
        <v>128</v>
      </c>
      <c r="H206" s="10">
        <f>tblResults[[#This Row],[Idle Time]]/tblResults[[#This Row],[Time in System]]</f>
        <v>0.5078125</v>
      </c>
    </row>
    <row r="207" spans="1:8" x14ac:dyDescent="0.25">
      <c r="A207">
        <v>206</v>
      </c>
      <c r="B207">
        <v>2546</v>
      </c>
      <c r="C207">
        <v>2678</v>
      </c>
      <c r="D207">
        <v>-1</v>
      </c>
      <c r="E207" t="b">
        <v>1</v>
      </c>
      <c r="F207">
        <v>19</v>
      </c>
      <c r="G207">
        <f>IF(tblResults[[#This Row],[Left System]]=0,2881-tblResults[[#This Row],[Entered System]],tblResults[[#This Row],[Left System]]-tblResults[[#This Row],[Entered System]]+1)</f>
        <v>133</v>
      </c>
      <c r="H207" s="10">
        <f>tblResults[[#This Row],[Idle Time]]/tblResults[[#This Row],[Time in System]]</f>
        <v>0.14285714285714285</v>
      </c>
    </row>
    <row r="208" spans="1:8" x14ac:dyDescent="0.25">
      <c r="A208">
        <v>207</v>
      </c>
      <c r="B208">
        <v>2553</v>
      </c>
      <c r="C208">
        <v>2701</v>
      </c>
      <c r="D208">
        <v>-1</v>
      </c>
      <c r="E208" t="b">
        <v>1</v>
      </c>
      <c r="F208">
        <v>67</v>
      </c>
      <c r="G208">
        <f>IF(tblResults[[#This Row],[Left System]]=0,2881-tblResults[[#This Row],[Entered System]],tblResults[[#This Row],[Left System]]-tblResults[[#This Row],[Entered System]]+1)</f>
        <v>149</v>
      </c>
      <c r="H208" s="10">
        <f>tblResults[[#This Row],[Idle Time]]/tblResults[[#This Row],[Time in System]]</f>
        <v>0.44966442953020136</v>
      </c>
    </row>
    <row r="209" spans="1:8" x14ac:dyDescent="0.25">
      <c r="A209">
        <v>208</v>
      </c>
      <c r="B209">
        <v>2561</v>
      </c>
      <c r="C209">
        <v>2723</v>
      </c>
      <c r="D209">
        <v>-1</v>
      </c>
      <c r="E209" t="b">
        <v>1</v>
      </c>
      <c r="F209">
        <v>63</v>
      </c>
      <c r="G209">
        <f>IF(tblResults[[#This Row],[Left System]]=0,2881-tblResults[[#This Row],[Entered System]],tblResults[[#This Row],[Left System]]-tblResults[[#This Row],[Entered System]]+1)</f>
        <v>163</v>
      </c>
      <c r="H209" s="10">
        <f>tblResults[[#This Row],[Idle Time]]/tblResults[[#This Row],[Time in System]]</f>
        <v>0.38650306748466257</v>
      </c>
    </row>
    <row r="210" spans="1:8" x14ac:dyDescent="0.25">
      <c r="A210">
        <v>209</v>
      </c>
      <c r="B210">
        <v>2575</v>
      </c>
      <c r="C210">
        <v>2732</v>
      </c>
      <c r="D210">
        <v>-1</v>
      </c>
      <c r="E210" t="b">
        <v>1</v>
      </c>
      <c r="F210">
        <v>90</v>
      </c>
      <c r="G210">
        <f>IF(tblResults[[#This Row],[Left System]]=0,2881-tblResults[[#This Row],[Entered System]],tblResults[[#This Row],[Left System]]-tblResults[[#This Row],[Entered System]]+1)</f>
        <v>158</v>
      </c>
      <c r="H210" s="10">
        <f>tblResults[[#This Row],[Idle Time]]/tblResults[[#This Row],[Time in System]]</f>
        <v>0.569620253164557</v>
      </c>
    </row>
    <row r="211" spans="1:8" x14ac:dyDescent="0.25">
      <c r="A211">
        <v>210</v>
      </c>
      <c r="B211">
        <v>2585</v>
      </c>
      <c r="C211">
        <v>2748</v>
      </c>
      <c r="D211">
        <v>-1</v>
      </c>
      <c r="E211" t="b">
        <v>1</v>
      </c>
      <c r="F211">
        <v>88</v>
      </c>
      <c r="G211">
        <f>IF(tblResults[[#This Row],[Left System]]=0,2881-tblResults[[#This Row],[Entered System]],tblResults[[#This Row],[Left System]]-tblResults[[#This Row],[Entered System]]+1)</f>
        <v>164</v>
      </c>
      <c r="H211" s="10">
        <f>tblResults[[#This Row],[Idle Time]]/tblResults[[#This Row],[Time in System]]</f>
        <v>0.53658536585365857</v>
      </c>
    </row>
    <row r="212" spans="1:8" x14ac:dyDescent="0.25">
      <c r="A212">
        <v>211</v>
      </c>
      <c r="B212">
        <v>2602</v>
      </c>
      <c r="C212">
        <v>2753</v>
      </c>
      <c r="D212">
        <v>-1</v>
      </c>
      <c r="E212" t="b">
        <v>1</v>
      </c>
      <c r="F212">
        <v>35</v>
      </c>
      <c r="G212">
        <f>IF(tblResults[[#This Row],[Left System]]=0,2881-tblResults[[#This Row],[Entered System]],tblResults[[#This Row],[Left System]]-tblResults[[#This Row],[Entered System]]+1)</f>
        <v>152</v>
      </c>
      <c r="H212" s="10">
        <f>tblResults[[#This Row],[Idle Time]]/tblResults[[#This Row],[Time in System]]</f>
        <v>0.23026315789473684</v>
      </c>
    </row>
    <row r="213" spans="1:8" x14ac:dyDescent="0.25">
      <c r="A213">
        <v>212</v>
      </c>
      <c r="B213">
        <v>2615</v>
      </c>
      <c r="C213">
        <v>2769</v>
      </c>
      <c r="D213">
        <v>-1</v>
      </c>
      <c r="E213" t="b">
        <v>1</v>
      </c>
      <c r="F213">
        <v>67</v>
      </c>
      <c r="G213">
        <f>IF(tblResults[[#This Row],[Left System]]=0,2881-tblResults[[#This Row],[Entered System]],tblResults[[#This Row],[Left System]]-tblResults[[#This Row],[Entered System]]+1)</f>
        <v>155</v>
      </c>
      <c r="H213" s="10">
        <f>tblResults[[#This Row],[Idle Time]]/tblResults[[#This Row],[Time in System]]</f>
        <v>0.43225806451612903</v>
      </c>
    </row>
    <row r="214" spans="1:8" x14ac:dyDescent="0.25">
      <c r="A214">
        <v>213</v>
      </c>
      <c r="B214">
        <v>2624</v>
      </c>
      <c r="C214">
        <v>2794</v>
      </c>
      <c r="D214">
        <v>-1</v>
      </c>
      <c r="E214" t="b">
        <v>1</v>
      </c>
      <c r="F214">
        <v>69</v>
      </c>
      <c r="G214">
        <f>IF(tblResults[[#This Row],[Left System]]=0,2881-tblResults[[#This Row],[Entered System]],tblResults[[#This Row],[Left System]]-tblResults[[#This Row],[Entered System]]+1)</f>
        <v>171</v>
      </c>
      <c r="H214" s="10">
        <f>tblResults[[#This Row],[Idle Time]]/tblResults[[#This Row],[Time in System]]</f>
        <v>0.40350877192982454</v>
      </c>
    </row>
    <row r="215" spans="1:8" x14ac:dyDescent="0.25">
      <c r="A215">
        <v>214</v>
      </c>
      <c r="B215">
        <v>2640</v>
      </c>
      <c r="C215">
        <v>2818</v>
      </c>
      <c r="D215">
        <v>-1</v>
      </c>
      <c r="E215" t="b">
        <v>1</v>
      </c>
      <c r="F215">
        <v>85</v>
      </c>
      <c r="G215">
        <f>IF(tblResults[[#This Row],[Left System]]=0,2881-tblResults[[#This Row],[Entered System]],tblResults[[#This Row],[Left System]]-tblResults[[#This Row],[Entered System]]+1)</f>
        <v>179</v>
      </c>
      <c r="H215" s="10">
        <f>tblResults[[#This Row],[Idle Time]]/tblResults[[#This Row],[Time in System]]</f>
        <v>0.47486033519553073</v>
      </c>
    </row>
    <row r="216" spans="1:8" x14ac:dyDescent="0.25">
      <c r="A216">
        <v>215</v>
      </c>
      <c r="B216">
        <v>2653</v>
      </c>
      <c r="C216">
        <v>2840</v>
      </c>
      <c r="D216">
        <v>-1</v>
      </c>
      <c r="E216" t="b">
        <v>1</v>
      </c>
      <c r="F216">
        <v>94</v>
      </c>
      <c r="G216">
        <f>IF(tblResults[[#This Row],[Left System]]=0,2881-tblResults[[#This Row],[Entered System]],tblResults[[#This Row],[Left System]]-tblResults[[#This Row],[Entered System]]+1)</f>
        <v>188</v>
      </c>
      <c r="H216" s="10">
        <f>tblResults[[#This Row],[Idle Time]]/tblResults[[#This Row],[Time in System]]</f>
        <v>0.5</v>
      </c>
    </row>
    <row r="217" spans="1:8" x14ac:dyDescent="0.25">
      <c r="A217">
        <v>216</v>
      </c>
      <c r="B217">
        <v>2664</v>
      </c>
      <c r="C217">
        <v>2863</v>
      </c>
      <c r="D217">
        <v>-1</v>
      </c>
      <c r="E217" t="b">
        <v>1</v>
      </c>
      <c r="F217">
        <v>104</v>
      </c>
      <c r="G217">
        <f>IF(tblResults[[#This Row],[Left System]]=0,2881-tblResults[[#This Row],[Entered System]],tblResults[[#This Row],[Left System]]-tblResults[[#This Row],[Entered System]]+1)</f>
        <v>200</v>
      </c>
      <c r="H217" s="10">
        <f>tblResults[[#This Row],[Idle Time]]/tblResults[[#This Row],[Time in System]]</f>
        <v>0.52</v>
      </c>
    </row>
    <row r="218" spans="1:8" x14ac:dyDescent="0.25">
      <c r="A218">
        <v>217</v>
      </c>
      <c r="B218">
        <v>2673</v>
      </c>
      <c r="C218">
        <v>2867</v>
      </c>
      <c r="D218">
        <v>-1</v>
      </c>
      <c r="E218" t="b">
        <v>1</v>
      </c>
      <c r="F218">
        <v>123</v>
      </c>
      <c r="G218">
        <f>IF(tblResults[[#This Row],[Left System]]=0,2881-tblResults[[#This Row],[Entered System]],tblResults[[#This Row],[Left System]]-tblResults[[#This Row],[Entered System]]+1)</f>
        <v>195</v>
      </c>
      <c r="H218" s="10">
        <f>tblResults[[#This Row],[Idle Time]]/tblResults[[#This Row],[Time in System]]</f>
        <v>0.63076923076923075</v>
      </c>
    </row>
    <row r="219" spans="1:8" x14ac:dyDescent="0.25">
      <c r="A219">
        <v>218</v>
      </c>
      <c r="B219">
        <v>2685</v>
      </c>
      <c r="C219">
        <v>2879</v>
      </c>
      <c r="D219">
        <v>-1</v>
      </c>
      <c r="E219" t="b">
        <v>1</v>
      </c>
      <c r="F219">
        <v>119</v>
      </c>
      <c r="G219">
        <f>IF(tblResults[[#This Row],[Left System]]=0,2881-tblResults[[#This Row],[Entered System]],tblResults[[#This Row],[Left System]]-tblResults[[#This Row],[Entered System]]+1)</f>
        <v>195</v>
      </c>
      <c r="H219" s="10">
        <f>tblResults[[#This Row],[Idle Time]]/tblResults[[#This Row],[Time in System]]</f>
        <v>0.61025641025641031</v>
      </c>
    </row>
    <row r="220" spans="1:8" x14ac:dyDescent="0.25">
      <c r="A220">
        <v>219</v>
      </c>
      <c r="B220">
        <v>2694</v>
      </c>
      <c r="C220">
        <v>0</v>
      </c>
      <c r="D220">
        <v>5</v>
      </c>
      <c r="E220" t="b">
        <v>0</v>
      </c>
      <c r="F220">
        <v>121</v>
      </c>
      <c r="G220">
        <f>IF(tblResults[[#This Row],[Left System]]=0,2881-tblResults[[#This Row],[Entered System]],tblResults[[#This Row],[Left System]]-tblResults[[#This Row],[Entered System]]+1)</f>
        <v>187</v>
      </c>
      <c r="H220" s="10">
        <f>tblResults[[#This Row],[Idle Time]]/tblResults[[#This Row],[Time in System]]</f>
        <v>0.6470588235294118</v>
      </c>
    </row>
    <row r="221" spans="1:8" x14ac:dyDescent="0.25">
      <c r="A221">
        <v>220</v>
      </c>
      <c r="B221">
        <v>2702</v>
      </c>
      <c r="C221">
        <v>0</v>
      </c>
      <c r="D221">
        <v>4</v>
      </c>
      <c r="E221" t="b">
        <v>0</v>
      </c>
      <c r="F221">
        <v>117</v>
      </c>
      <c r="G221">
        <f>IF(tblResults[[#This Row],[Left System]]=0,2881-tblResults[[#This Row],[Entered System]],tblResults[[#This Row],[Left System]]-tblResults[[#This Row],[Entered System]]+1)</f>
        <v>179</v>
      </c>
      <c r="H221" s="10">
        <f>tblResults[[#This Row],[Idle Time]]/tblResults[[#This Row],[Time in System]]</f>
        <v>0.65363128491620115</v>
      </c>
    </row>
    <row r="222" spans="1:8" x14ac:dyDescent="0.25">
      <c r="A222">
        <v>221</v>
      </c>
      <c r="B222">
        <v>2721</v>
      </c>
      <c r="C222">
        <v>0</v>
      </c>
      <c r="D222">
        <v>4</v>
      </c>
      <c r="E222" t="b">
        <v>1</v>
      </c>
      <c r="F222">
        <v>115</v>
      </c>
      <c r="G222">
        <f>IF(tblResults[[#This Row],[Left System]]=0,2881-tblResults[[#This Row],[Entered System]],tblResults[[#This Row],[Left System]]-tblResults[[#This Row],[Entered System]]+1)</f>
        <v>160</v>
      </c>
      <c r="H222" s="10">
        <f>tblResults[[#This Row],[Idle Time]]/tblResults[[#This Row],[Time in System]]</f>
        <v>0.71875</v>
      </c>
    </row>
    <row r="223" spans="1:8" x14ac:dyDescent="0.25">
      <c r="A223">
        <v>222</v>
      </c>
      <c r="B223">
        <v>2739</v>
      </c>
      <c r="C223">
        <v>0</v>
      </c>
      <c r="D223">
        <v>4</v>
      </c>
      <c r="E223" t="b">
        <v>1</v>
      </c>
      <c r="F223">
        <v>108</v>
      </c>
      <c r="G223">
        <f>IF(tblResults[[#This Row],[Left System]]=0,2881-tblResults[[#This Row],[Entered System]],tblResults[[#This Row],[Left System]]-tblResults[[#This Row],[Entered System]]+1)</f>
        <v>142</v>
      </c>
      <c r="H223" s="10">
        <f>tblResults[[#This Row],[Idle Time]]/tblResults[[#This Row],[Time in System]]</f>
        <v>0.76056338028169013</v>
      </c>
    </row>
    <row r="224" spans="1:8" x14ac:dyDescent="0.25">
      <c r="A224">
        <v>223</v>
      </c>
      <c r="B224">
        <v>2749</v>
      </c>
      <c r="C224">
        <v>0</v>
      </c>
      <c r="D224">
        <v>4</v>
      </c>
      <c r="E224" t="b">
        <v>1</v>
      </c>
      <c r="F224">
        <v>79</v>
      </c>
      <c r="G224">
        <f>IF(tblResults[[#This Row],[Left System]]=0,2881-tblResults[[#This Row],[Entered System]],tblResults[[#This Row],[Left System]]-tblResults[[#This Row],[Entered System]]+1)</f>
        <v>132</v>
      </c>
      <c r="H224" s="10">
        <f>tblResults[[#This Row],[Idle Time]]/tblResults[[#This Row],[Time in System]]</f>
        <v>0.59848484848484851</v>
      </c>
    </row>
    <row r="225" spans="1:8" x14ac:dyDescent="0.25">
      <c r="A225">
        <v>224</v>
      </c>
      <c r="B225">
        <v>2763</v>
      </c>
      <c r="C225">
        <v>0</v>
      </c>
      <c r="D225">
        <v>4</v>
      </c>
      <c r="E225" t="b">
        <v>1</v>
      </c>
      <c r="F225">
        <v>71</v>
      </c>
      <c r="G225">
        <f>IF(tblResults[[#This Row],[Left System]]=0,2881-tblResults[[#This Row],[Entered System]],tblResults[[#This Row],[Left System]]-tblResults[[#This Row],[Entered System]]+1)</f>
        <v>118</v>
      </c>
      <c r="H225" s="10">
        <f>tblResults[[#This Row],[Idle Time]]/tblResults[[#This Row],[Time in System]]</f>
        <v>0.60169491525423724</v>
      </c>
    </row>
    <row r="226" spans="1:8" x14ac:dyDescent="0.25">
      <c r="A226">
        <v>225</v>
      </c>
      <c r="B226">
        <v>2769</v>
      </c>
      <c r="C226">
        <v>0</v>
      </c>
      <c r="D226">
        <v>4</v>
      </c>
      <c r="E226" t="b">
        <v>1</v>
      </c>
      <c r="F226">
        <v>58</v>
      </c>
      <c r="G226">
        <f>IF(tblResults[[#This Row],[Left System]]=0,2881-tblResults[[#This Row],[Entered System]],tblResults[[#This Row],[Left System]]-tblResults[[#This Row],[Entered System]]+1)</f>
        <v>112</v>
      </c>
      <c r="H226" s="10">
        <f>tblResults[[#This Row],[Idle Time]]/tblResults[[#This Row],[Time in System]]</f>
        <v>0.5178571428571429</v>
      </c>
    </row>
    <row r="227" spans="1:8" x14ac:dyDescent="0.25">
      <c r="A227">
        <v>226</v>
      </c>
      <c r="B227">
        <v>2780</v>
      </c>
      <c r="C227">
        <v>0</v>
      </c>
      <c r="D227">
        <v>4</v>
      </c>
      <c r="E227" t="b">
        <v>1</v>
      </c>
      <c r="F227">
        <v>49</v>
      </c>
      <c r="G227">
        <f>IF(tblResults[[#This Row],[Left System]]=0,2881-tblResults[[#This Row],[Entered System]],tblResults[[#This Row],[Left System]]-tblResults[[#This Row],[Entered System]]+1)</f>
        <v>101</v>
      </c>
      <c r="H227" s="10">
        <f>tblResults[[#This Row],[Idle Time]]/tblResults[[#This Row],[Time in System]]</f>
        <v>0.48514851485148514</v>
      </c>
    </row>
    <row r="228" spans="1:8" x14ac:dyDescent="0.25">
      <c r="A228">
        <v>227</v>
      </c>
      <c r="B228">
        <v>2792</v>
      </c>
      <c r="C228">
        <v>0</v>
      </c>
      <c r="D228">
        <v>4</v>
      </c>
      <c r="E228" t="b">
        <v>1</v>
      </c>
      <c r="F228">
        <v>46</v>
      </c>
      <c r="G228">
        <f>IF(tblResults[[#This Row],[Left System]]=0,2881-tblResults[[#This Row],[Entered System]],tblResults[[#This Row],[Left System]]-tblResults[[#This Row],[Entered System]]+1)</f>
        <v>89</v>
      </c>
      <c r="H228" s="10">
        <f>tblResults[[#This Row],[Idle Time]]/tblResults[[#This Row],[Time in System]]</f>
        <v>0.5168539325842697</v>
      </c>
    </row>
    <row r="229" spans="1:8" x14ac:dyDescent="0.25">
      <c r="A229">
        <v>228</v>
      </c>
      <c r="B229">
        <v>2804</v>
      </c>
      <c r="C229">
        <v>0</v>
      </c>
      <c r="D229">
        <v>4</v>
      </c>
      <c r="E229" t="b">
        <v>1</v>
      </c>
      <c r="F229">
        <v>32</v>
      </c>
      <c r="G229">
        <f>IF(tblResults[[#This Row],[Left System]]=0,2881-tblResults[[#This Row],[Entered System]],tblResults[[#This Row],[Left System]]-tblResults[[#This Row],[Entered System]]+1)</f>
        <v>77</v>
      </c>
      <c r="H229" s="10">
        <f>tblResults[[#This Row],[Idle Time]]/tblResults[[#This Row],[Time in System]]</f>
        <v>0.41558441558441561</v>
      </c>
    </row>
    <row r="230" spans="1:8" x14ac:dyDescent="0.25">
      <c r="A230">
        <v>229</v>
      </c>
      <c r="B230">
        <v>2821</v>
      </c>
      <c r="C230">
        <v>0</v>
      </c>
      <c r="D230">
        <v>4</v>
      </c>
      <c r="E230" t="b">
        <v>1</v>
      </c>
      <c r="F230">
        <v>9</v>
      </c>
      <c r="G230">
        <f>IF(tblResults[[#This Row],[Left System]]=0,2881-tblResults[[#This Row],[Entered System]],tblResults[[#This Row],[Left System]]-tblResults[[#This Row],[Entered System]]+1)</f>
        <v>60</v>
      </c>
      <c r="H230" s="10">
        <f>tblResults[[#This Row],[Idle Time]]/tblResults[[#This Row],[Time in System]]</f>
        <v>0.15</v>
      </c>
    </row>
    <row r="231" spans="1:8" x14ac:dyDescent="0.25">
      <c r="A231">
        <v>230</v>
      </c>
      <c r="B231">
        <v>2835</v>
      </c>
      <c r="C231">
        <v>0</v>
      </c>
      <c r="D231">
        <v>3</v>
      </c>
      <c r="E231" t="b">
        <v>0</v>
      </c>
      <c r="F231">
        <v>5</v>
      </c>
      <c r="G231">
        <f>IF(tblResults[[#This Row],[Left System]]=0,2881-tblResults[[#This Row],[Entered System]],tblResults[[#This Row],[Left System]]-tblResults[[#This Row],[Entered System]]+1)</f>
        <v>46</v>
      </c>
      <c r="H231" s="10">
        <f>tblResults[[#This Row],[Idle Time]]/tblResults[[#This Row],[Time in System]]</f>
        <v>0.10869565217391304</v>
      </c>
    </row>
    <row r="232" spans="1:8" x14ac:dyDescent="0.25">
      <c r="A232">
        <v>231</v>
      </c>
      <c r="B232">
        <v>2847</v>
      </c>
      <c r="C232">
        <v>0</v>
      </c>
      <c r="D232">
        <v>3</v>
      </c>
      <c r="E232" t="b">
        <v>0</v>
      </c>
      <c r="F232">
        <v>4</v>
      </c>
      <c r="G232">
        <f>IF(tblResults[[#This Row],[Left System]]=0,2881-tblResults[[#This Row],[Entered System]],tblResults[[#This Row],[Left System]]-tblResults[[#This Row],[Entered System]]+1)</f>
        <v>34</v>
      </c>
      <c r="H232" s="10">
        <f>tblResults[[#This Row],[Idle Time]]/tblResults[[#This Row],[Time in System]]</f>
        <v>0.11764705882352941</v>
      </c>
    </row>
    <row r="233" spans="1:8" x14ac:dyDescent="0.25">
      <c r="A233">
        <v>232</v>
      </c>
      <c r="B233">
        <v>2856</v>
      </c>
      <c r="C233">
        <v>0</v>
      </c>
      <c r="D233">
        <v>3</v>
      </c>
      <c r="E233" t="b">
        <v>1</v>
      </c>
      <c r="F233">
        <v>3</v>
      </c>
      <c r="G233">
        <f>IF(tblResults[[#This Row],[Left System]]=0,2881-tblResults[[#This Row],[Entered System]],tblResults[[#This Row],[Left System]]-tblResults[[#This Row],[Entered System]]+1)</f>
        <v>25</v>
      </c>
      <c r="H233" s="10">
        <f>tblResults[[#This Row],[Idle Time]]/tblResults[[#This Row],[Time in System]]</f>
        <v>0.12</v>
      </c>
    </row>
    <row r="234" spans="1:8" x14ac:dyDescent="0.25">
      <c r="A234">
        <v>233</v>
      </c>
      <c r="B234">
        <v>2869</v>
      </c>
      <c r="C234">
        <v>0</v>
      </c>
      <c r="D234">
        <v>1</v>
      </c>
      <c r="E234" t="b">
        <v>0</v>
      </c>
      <c r="F234">
        <v>0</v>
      </c>
      <c r="G234">
        <f>IF(tblResults[[#This Row],[Left System]]=0,2881-tblResults[[#This Row],[Entered System]],tblResults[[#This Row],[Left System]]-tblResults[[#This Row],[Entered System]]+1)</f>
        <v>12</v>
      </c>
      <c r="H234" s="10">
        <f>tblResults[[#This Row],[Idle Time]]/tblResults[[#This Row],[Time in System]]</f>
        <v>0</v>
      </c>
    </row>
    <row r="235" spans="1:8" x14ac:dyDescent="0.25">
      <c r="A235" t="s">
        <v>19</v>
      </c>
      <c r="F235">
        <f>SUBTOTAL(109,tblResults[Idle Time])</f>
        <v>10349</v>
      </c>
      <c r="G235">
        <f>SUBTOTAL(109,tblResults[Time in System])</f>
        <v>30071</v>
      </c>
      <c r="H235" s="16">
        <f>SUBTOTAL(101,tblResults[% Idle])</f>
        <v>0.32148610140730316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SimSetup</vt:lpstr>
      <vt:lpstr>Results</vt:lpstr>
      <vt:lpstr>NoOfStations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Usher</dc:creator>
  <cp:lastModifiedBy>Steve Usher</cp:lastModifiedBy>
  <dcterms:created xsi:type="dcterms:W3CDTF">2021-04-12T06:35:10Z</dcterms:created>
  <dcterms:modified xsi:type="dcterms:W3CDTF">2021-04-16T14:38:52Z</dcterms:modified>
</cp:coreProperties>
</file>