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\OneDrive\Documents\LinkedIn Learning\Excel VBA Process Modelling\"/>
    </mc:Choice>
  </mc:AlternateContent>
  <xr:revisionPtr revIDLastSave="0" documentId="13_ncr:1_{0EDA268B-5B85-4806-A471-5F33C40C221F}" xr6:coauthVersionLast="46" xr6:coauthVersionMax="46" xr10:uidLastSave="{00000000-0000-0000-0000-000000000000}"/>
  <bookViews>
    <workbookView xWindow="3040" yWindow="600" windowWidth="19220" windowHeight="21000" activeTab="1" xr2:uid="{138ADAD8-1266-4BDD-AD85-7487E9C1A8D1}"/>
  </bookViews>
  <sheets>
    <sheet name="SimSetup" sheetId="1" r:id="rId1"/>
    <sheet name="Results" sheetId="2" r:id="rId2"/>
  </sheets>
  <definedNames>
    <definedName name="NoOfRuns">SimSetup!#REF!</definedName>
    <definedName name="NoOfStations">SimSetup!$C$3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6" i="2" l="1"/>
  <c r="G116" i="2"/>
  <c r="H115" i="2"/>
  <c r="G115" i="2"/>
  <c r="G114" i="2"/>
  <c r="H114" i="2" s="1"/>
  <c r="G113" i="2"/>
  <c r="H113" i="2" s="1"/>
  <c r="G112" i="2"/>
  <c r="H112" i="2" s="1"/>
  <c r="G111" i="2"/>
  <c r="H111" i="2" s="1"/>
  <c r="G110" i="2"/>
  <c r="H110" i="2" s="1"/>
  <c r="G109" i="2"/>
  <c r="H109" i="2" s="1"/>
  <c r="G108" i="2"/>
  <c r="H108" i="2" s="1"/>
  <c r="G107" i="2"/>
  <c r="H107" i="2" s="1"/>
  <c r="G106" i="2"/>
  <c r="H106" i="2" s="1"/>
  <c r="G105" i="2"/>
  <c r="H105" i="2" s="1"/>
  <c r="G104" i="2"/>
  <c r="H104" i="2" s="1"/>
  <c r="G103" i="2"/>
  <c r="H103" i="2" s="1"/>
  <c r="G102" i="2"/>
  <c r="H102" i="2" s="1"/>
  <c r="G101" i="2"/>
  <c r="H101" i="2" s="1"/>
  <c r="G100" i="2"/>
  <c r="H100" i="2" s="1"/>
  <c r="G99" i="2"/>
  <c r="H99" i="2" s="1"/>
  <c r="G98" i="2"/>
  <c r="H98" i="2" s="1"/>
  <c r="G97" i="2"/>
  <c r="H97" i="2" s="1"/>
  <c r="G96" i="2"/>
  <c r="H96" i="2" s="1"/>
  <c r="G95" i="2"/>
  <c r="H95" i="2" s="1"/>
  <c r="G94" i="2"/>
  <c r="H94" i="2" s="1"/>
  <c r="G93" i="2"/>
  <c r="H93" i="2" s="1"/>
  <c r="G92" i="2"/>
  <c r="H92" i="2" s="1"/>
  <c r="G91" i="2"/>
  <c r="H91" i="2" s="1"/>
  <c r="G90" i="2"/>
  <c r="H90" i="2" s="1"/>
  <c r="G89" i="2"/>
  <c r="H89" i="2" s="1"/>
  <c r="G88" i="2"/>
  <c r="H88" i="2" s="1"/>
  <c r="G87" i="2"/>
  <c r="H87" i="2" s="1"/>
  <c r="G86" i="2"/>
  <c r="H86" i="2" s="1"/>
  <c r="G85" i="2"/>
  <c r="H85" i="2" s="1"/>
  <c r="G84" i="2"/>
  <c r="H84" i="2" s="1"/>
  <c r="G83" i="2"/>
  <c r="H83" i="2" s="1"/>
  <c r="G82" i="2"/>
  <c r="H82" i="2" s="1"/>
  <c r="G81" i="2"/>
  <c r="H81" i="2" s="1"/>
  <c r="G80" i="2"/>
  <c r="H80" i="2" s="1"/>
  <c r="G79" i="2"/>
  <c r="H79" i="2" s="1"/>
  <c r="G78" i="2"/>
  <c r="H78" i="2" s="1"/>
  <c r="G77" i="2"/>
  <c r="H77" i="2" s="1"/>
  <c r="G76" i="2"/>
  <c r="H76" i="2" s="1"/>
  <c r="G75" i="2"/>
  <c r="H75" i="2" s="1"/>
  <c r="G74" i="2"/>
  <c r="H74" i="2" s="1"/>
  <c r="G73" i="2"/>
  <c r="H73" i="2" s="1"/>
  <c r="G72" i="2"/>
  <c r="H72" i="2" s="1"/>
  <c r="G71" i="2"/>
  <c r="H71" i="2" s="1"/>
  <c r="G70" i="2"/>
  <c r="H70" i="2" s="1"/>
  <c r="G69" i="2"/>
  <c r="H69" i="2" s="1"/>
  <c r="G68" i="2"/>
  <c r="H68" i="2" s="1"/>
  <c r="G67" i="2"/>
  <c r="H67" i="2" s="1"/>
  <c r="G66" i="2"/>
  <c r="H66" i="2" s="1"/>
  <c r="G65" i="2"/>
  <c r="H65" i="2" s="1"/>
  <c r="G64" i="2"/>
  <c r="H64" i="2" s="1"/>
  <c r="G63" i="2"/>
  <c r="H63" i="2" s="1"/>
  <c r="G62" i="2"/>
  <c r="H62" i="2" s="1"/>
  <c r="G61" i="2"/>
  <c r="H61" i="2" s="1"/>
  <c r="G60" i="2"/>
  <c r="H60" i="2" s="1"/>
  <c r="G59" i="2"/>
  <c r="H59" i="2" s="1"/>
  <c r="G58" i="2"/>
  <c r="H58" i="2" s="1"/>
  <c r="G57" i="2"/>
  <c r="H57" i="2" s="1"/>
  <c r="G56" i="2"/>
  <c r="H56" i="2" s="1"/>
  <c r="G55" i="2"/>
  <c r="H55" i="2" s="1"/>
  <c r="G54" i="2"/>
  <c r="H54" i="2" s="1"/>
  <c r="G53" i="2"/>
  <c r="H53" i="2" s="1"/>
  <c r="G52" i="2"/>
  <c r="H52" i="2" s="1"/>
  <c r="G51" i="2"/>
  <c r="H51" i="2" s="1"/>
  <c r="G50" i="2"/>
  <c r="H50" i="2" s="1"/>
  <c r="G49" i="2"/>
  <c r="H49" i="2" s="1"/>
  <c r="G48" i="2"/>
  <c r="H48" i="2" s="1"/>
  <c r="G47" i="2"/>
  <c r="H47" i="2" s="1"/>
  <c r="G46" i="2"/>
  <c r="H46" i="2" s="1"/>
  <c r="G45" i="2"/>
  <c r="H45" i="2" s="1"/>
  <c r="G44" i="2"/>
  <c r="H44" i="2" s="1"/>
  <c r="G43" i="2"/>
  <c r="H43" i="2" s="1"/>
  <c r="G42" i="2"/>
  <c r="H42" i="2" s="1"/>
  <c r="G41" i="2"/>
  <c r="H41" i="2" s="1"/>
  <c r="G40" i="2"/>
  <c r="H40" i="2" s="1"/>
  <c r="G39" i="2"/>
  <c r="H39" i="2" s="1"/>
  <c r="G38" i="2"/>
  <c r="H38" i="2" s="1"/>
  <c r="G37" i="2"/>
  <c r="H37" i="2" s="1"/>
  <c r="G36" i="2"/>
  <c r="H36" i="2" s="1"/>
  <c r="G35" i="2"/>
  <c r="H35" i="2" s="1"/>
  <c r="G34" i="2"/>
  <c r="H34" i="2" s="1"/>
  <c r="G33" i="2"/>
  <c r="H33" i="2" s="1"/>
  <c r="G32" i="2"/>
  <c r="H32" i="2" s="1"/>
  <c r="G31" i="2"/>
  <c r="H31" i="2" s="1"/>
  <c r="G30" i="2"/>
  <c r="H30" i="2" s="1"/>
  <c r="G29" i="2"/>
  <c r="H29" i="2" s="1"/>
  <c r="G28" i="2"/>
  <c r="H28" i="2" s="1"/>
  <c r="G27" i="2"/>
  <c r="H27" i="2" s="1"/>
  <c r="G26" i="2"/>
  <c r="H26" i="2" s="1"/>
  <c r="G25" i="2"/>
  <c r="H25" i="2" s="1"/>
  <c r="G24" i="2"/>
  <c r="H24" i="2" s="1"/>
  <c r="G23" i="2"/>
  <c r="H23" i="2" s="1"/>
  <c r="G22" i="2"/>
  <c r="H22" i="2" s="1"/>
  <c r="G21" i="2"/>
  <c r="H21" i="2" s="1"/>
  <c r="G20" i="2"/>
  <c r="H20" i="2" s="1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8" i="2"/>
  <c r="H8" i="2" s="1"/>
  <c r="G7" i="2"/>
  <c r="H7" i="2" s="1"/>
  <c r="G6" i="2"/>
  <c r="H6" i="2" s="1"/>
  <c r="G5" i="2"/>
  <c r="H5" i="2" s="1"/>
  <c r="G4" i="2"/>
  <c r="H4" i="2" s="1"/>
  <c r="G3" i="2"/>
  <c r="H3" i="2" s="1"/>
  <c r="G2" i="2"/>
  <c r="H2" i="2" s="1"/>
  <c r="M6" i="1"/>
  <c r="M7" i="1" l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C3" i="1" l="1"/>
</calcChain>
</file>

<file path=xl/sharedStrings.xml><?xml version="1.0" encoding="utf-8"?>
<sst xmlns="http://schemas.openxmlformats.org/spreadsheetml/2006/main" count="23" uniqueCount="19">
  <si>
    <t>Customer Simulation</t>
  </si>
  <si>
    <t>No. of Stations:</t>
  </si>
  <si>
    <t>Station</t>
  </si>
  <si>
    <t>Mean</t>
  </si>
  <si>
    <t>StdDev</t>
  </si>
  <si>
    <t>CustomerID</t>
  </si>
  <si>
    <t>Poisson Data</t>
  </si>
  <si>
    <t>Entered System</t>
  </si>
  <si>
    <t>Left System</t>
  </si>
  <si>
    <t>Current Station</t>
  </si>
  <si>
    <t>Is Idle</t>
  </si>
  <si>
    <t>Idle Time</t>
  </si>
  <si>
    <t>Time in System</t>
  </si>
  <si>
    <t>% Idle</t>
  </si>
  <si>
    <t>Index</t>
  </si>
  <si>
    <t>Probability</t>
  </si>
  <si>
    <t>Capacity</t>
  </si>
  <si>
    <t>ReworkTime</t>
  </si>
  <si>
    <t>Next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</si>
</sst>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-* #,##0.0000_-;\-* #,##0.0000_-;_-* &quot;-&quot;??_-;_-@_-"/>
    <numFmt numFmtId="165" formatCode="0.0%"/>
  </numFmts>
  <fonts count="4" x14ac:knownFonts="1"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8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8" tint="0.59999389629810485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1" fillId="3" borderId="0" applyNumberFormat="0" applyBorder="0" applyAlignment="0" applyProtection="0"/>
  </cellStyleXfs>
  <cellXfs count="16">
    <xf numFmtId="0" fontId="0" fillId="0" borderId="0" xfId="0"/>
    <xf numFmtId="0" fontId="1" fillId="3" borderId="3" xfId="6" applyBorder="1"/>
    <xf numFmtId="0" fontId="3" fillId="2" borderId="2" xfId="5"/>
    <xf numFmtId="0" fontId="0" fillId="3" borderId="3" xfId="6" applyFont="1" applyBorder="1"/>
    <xf numFmtId="0" fontId="0" fillId="0" borderId="4" xfId="0" applyBorder="1"/>
    <xf numFmtId="164" fontId="0" fillId="0" borderId="5" xfId="1" applyNumberFormat="1" applyFont="1" applyBorder="1"/>
    <xf numFmtId="0" fontId="0" fillId="3" borderId="6" xfId="6" applyFont="1" applyBorder="1"/>
    <xf numFmtId="0" fontId="0" fillId="3" borderId="7" xfId="6" applyFont="1" applyBorder="1"/>
    <xf numFmtId="0" fontId="0" fillId="0" borderId="8" xfId="0" applyBorder="1"/>
    <xf numFmtId="164" fontId="0" fillId="0" borderId="9" xfId="1" applyNumberFormat="1" applyFont="1" applyBorder="1"/>
    <xf numFmtId="165" fontId="0" fillId="0" borderId="0" xfId="3" applyNumberFormat="1" applyFont="1"/>
    <xf numFmtId="41" fontId="3" fillId="2" borderId="2" xfId="2" applyFont="1" applyFill="1" applyBorder="1"/>
    <xf numFmtId="43" fontId="0" fillId="0" borderId="0" xfId="1" applyFont="1"/>
    <xf numFmtId="0" fontId="0" fillId="3" borderId="4" xfId="6" applyFont="1" applyBorder="1"/>
    <xf numFmtId="164" fontId="0" fillId="3" borderId="5" xfId="1" applyNumberFormat="1" applyFont="1" applyFill="1" applyBorder="1"/>
    <xf numFmtId="0" fontId="2" fillId="0" borderId="0" xfId="4" applyBorder="1"/>
  </cellXfs>
  <cellStyles count="7">
    <cellStyle name="40% - Accent5" xfId="6" builtinId="47"/>
    <cellStyle name="Comma" xfId="1" builtinId="3"/>
    <cellStyle name="Comma [0]" xfId="2" builtinId="6"/>
    <cellStyle name="Heading 1" xfId="4" builtinId="16"/>
    <cellStyle name="Input" xfId="5" builtinId="20"/>
    <cellStyle name="Normal" xfId="0" builtinId="0"/>
    <cellStyle name="Percent" xfId="3" builtinId="5"/>
  </cellStyles>
  <dxfs count="7">
    <dxf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_-* #,##0.0000_-;\-* #,##0.0000_-;_-* &quot;-&quot;??_-;_-@_-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838200</xdr:colOff>
      <xdr:row>15</xdr:row>
      <xdr:rowOff>95250</xdr:rowOff>
    </xdr:from>
    <xdr:to>
      <xdr:col>4</xdr:col>
      <xdr:colOff>190500</xdr:colOff>
      <xdr:row>19</xdr:row>
      <xdr:rowOff>76200</xdr:rowOff>
    </xdr:to>
    <xdr:sp macro="[0]!MainT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7466EA-B0E3-4EE2-B7A2-BEADA3D24435}"/>
            </a:ext>
          </a:extLst>
        </xdr:cNvPr>
        <xdr:cNvSpPr/>
      </xdr:nvSpPr>
      <xdr:spPr>
        <a:xfrm>
          <a:off x="1295400" y="2209800"/>
          <a:ext cx="1225550" cy="5143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Run Simulation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237ABF-2F69-48B7-B738-ACEE074F0A24}" name="tblStations" displayName="tblStations" ref="B5:G11" totalsRowShown="0">
  <autoFilter ref="B5:G11" xr:uid="{B6EB8094-6C0A-445E-967C-524C32F952DD}"/>
  <tableColumns count="6">
    <tableColumn id="1" xr3:uid="{7E26AABE-6F6C-44A4-8BFD-0CE587817437}" name="Station"/>
    <tableColumn id="2" xr3:uid="{1BD6D907-D092-4B4E-9AD9-A9335DEAE284}" name="Mean"/>
    <tableColumn id="3" xr3:uid="{49EDF7CE-FA6B-4D5B-AA87-4AF4E2A6C7CA}" name="StdDev"/>
    <tableColumn id="5" xr3:uid="{2EF2AFBB-6B88-4900-BA74-6D65594701C8}" name="Next"/>
    <tableColumn id="4" xr3:uid="{41000283-F985-41A8-BCC9-C29115D36DF9}" name="Capacity"/>
    <tableColumn id="6" xr3:uid="{28CD653B-09CD-4CBC-92AA-659F03F7C79F}" name="Probability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28DA8-F990-45B5-820C-CEA7393D3CDD}" name="tblProbabilities" displayName="tblProbabilities" ref="L5:M59" totalsRowShown="0" headerRowDxfId="6" headerRowBorderDxfId="5" tableBorderDxfId="4" totalsRowBorderDxfId="3" headerRowCellStyle="40% - Accent5">
  <autoFilter ref="L5:M59" xr:uid="{6E89566A-E30D-402D-862C-0918C2608273}"/>
  <tableColumns count="2">
    <tableColumn id="1" xr3:uid="{E3316BE5-1100-4CB5-9003-7987482FAC6B}" name="Index" dataDxfId="2"/>
    <tableColumn id="2" xr3:uid="{483A5824-3990-47A9-853D-4BDD1650592C}" name="Probability" dataDxfId="1" dataCellStyle="Comma">
      <calculatedColumnFormula>_xlfn.POISSON.DIST(L6,$M$3,TRUE)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C72EF1-AA80-4DFA-93CD-17287682EF03}" name="tblResults" displayName="tblResults" ref="A1:H116" totalsRowShown="0">
  <autoFilter ref="A1:H116" xr:uid="{84AB9091-5156-4732-8CDF-ECA8E3660390}"/>
  <tableColumns count="8">
    <tableColumn id="1" xr3:uid="{64958C85-1C5B-4D90-BA9F-4BBA9D6CD939}" name="CustomerID"/>
    <tableColumn id="2" xr3:uid="{4657F92D-5123-491A-B6C2-63DBBFED10AF}" name="Entered System"/>
    <tableColumn id="3" xr3:uid="{0828D94C-C0B5-430B-8657-82B41F505846}" name="Left System"/>
    <tableColumn id="4" xr3:uid="{CF983D8F-8CF9-4F2F-89CE-F0F9FBFFE8F8}" name="Current Station"/>
    <tableColumn id="5" xr3:uid="{996FD2FF-9240-4942-A744-CBCD1D83146A}" name="Is Idle"/>
    <tableColumn id="6" xr3:uid="{CA5D8ACE-09E5-47EA-B98C-7D24BC2D7B13}" name="Idle Time"/>
    <tableColumn id="7" xr3:uid="{468C515B-25B2-493F-B31A-BEEE56FD2EA1}" name="Time in System">
      <calculatedColumnFormula>IF(tblResults[[#This Row],[Left System]]=0,2881-tblResults[[#This Row],[Entered System]],tblResults[[#This Row],[Left System]]-tblResults[[#This Row],[Entered System]]+1)</calculatedColumnFormula>
    </tableColumn>
    <tableColumn id="8" xr3:uid="{2D865C4D-D2BA-469D-881B-B052B765D1B0}" name="% Idle" dataDxfId="0" dataCellStyle="Percent">
      <calculatedColumnFormula>tblResults[[#This Row],[Idle Time]]/tblResults[[#This Row],[Time in System]]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8B6241-11A2-4013-AD26-CDC778D91AA4}" name="tblRework" displayName="tblRework" ref="K1:M39" totalsRowShown="0">
  <autoFilter ref="K1:M39" xr:uid="{7A69E0C8-E0D3-4BFB-93D4-07F92C3A7447}"/>
  <tableColumns count="3">
    <tableColumn id="1" xr3:uid="{19C55C1F-BBAD-416E-A8C4-848F3124E228}" name="CustomerID"/>
    <tableColumn id="2" xr3:uid="{D27BD538-7A2C-4EBC-B380-1845A3E91267}" name="Station"/>
    <tableColumn id="3" xr3:uid="{9BCEBECB-9F95-4CAC-890F-5BFA10AEA3DA}" name="ReworkTi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72365-1FB3-416A-B2A1-F9B2FC34A9E1}">
  <sheetPr codeName="Sheet1"/>
  <dimension ref="B1:T59"/>
  <sheetViews>
    <sheetView showGridLines="0" workbookViewId="0">
      <selection activeCell="D23" sqref="D23"/>
    </sheetView>
  </sheetViews>
  <sheetFormatPr defaultRowHeight="10.5" x14ac:dyDescent="0.25"/>
  <cols>
    <col min="2" max="2" width="18.5" customWidth="1"/>
    <col min="4" max="5" width="9.375" customWidth="1"/>
    <col min="13" max="13" width="12.75" customWidth="1"/>
  </cols>
  <sheetData>
    <row r="1" spans="2:20" ht="19.5" x14ac:dyDescent="0.45">
      <c r="B1" s="15" t="s">
        <v>0</v>
      </c>
      <c r="C1" s="15"/>
      <c r="D1" s="15"/>
      <c r="E1" s="15"/>
      <c r="F1" s="15"/>
      <c r="G1" s="15"/>
      <c r="H1" s="15"/>
      <c r="I1" s="15"/>
      <c r="J1" s="15"/>
      <c r="K1" s="15"/>
      <c r="L1" s="15" t="s">
        <v>6</v>
      </c>
      <c r="M1" s="15"/>
      <c r="N1" s="15"/>
      <c r="O1" s="15"/>
      <c r="P1" s="15"/>
      <c r="Q1" s="15"/>
      <c r="R1" s="15"/>
      <c r="S1" s="15"/>
      <c r="T1" s="15"/>
    </row>
    <row r="3" spans="2:20" x14ac:dyDescent="0.25">
      <c r="B3" s="1" t="s">
        <v>1</v>
      </c>
      <c r="C3" s="2">
        <f>COUNT(tblStations[Station])</f>
        <v>6</v>
      </c>
      <c r="L3" s="3" t="s">
        <v>3</v>
      </c>
      <c r="M3" s="11">
        <v>25</v>
      </c>
    </row>
    <row r="5" spans="2:20" x14ac:dyDescent="0.25">
      <c r="B5" t="s">
        <v>2</v>
      </c>
      <c r="C5" t="s">
        <v>3</v>
      </c>
      <c r="D5" t="s">
        <v>4</v>
      </c>
      <c r="E5" t="s">
        <v>18</v>
      </c>
      <c r="F5" t="s">
        <v>16</v>
      </c>
      <c r="G5" t="s">
        <v>15</v>
      </c>
      <c r="L5" s="6" t="s">
        <v>14</v>
      </c>
      <c r="M5" s="7" t="s">
        <v>15</v>
      </c>
    </row>
    <row r="6" spans="2:20" x14ac:dyDescent="0.25">
      <c r="B6">
        <v>1</v>
      </c>
      <c r="C6">
        <v>18</v>
      </c>
      <c r="D6">
        <v>4</v>
      </c>
      <c r="E6">
        <v>2</v>
      </c>
      <c r="F6">
        <v>2</v>
      </c>
      <c r="G6" s="12">
        <v>1</v>
      </c>
      <c r="L6" s="13">
        <v>0</v>
      </c>
      <c r="M6" s="14">
        <f>_xlfn.POISSON.DIST(L6,$M$3,TRUE)</f>
        <v>1.3887943864964021E-11</v>
      </c>
    </row>
    <row r="7" spans="2:20" x14ac:dyDescent="0.25">
      <c r="B7">
        <v>2</v>
      </c>
      <c r="C7">
        <v>10</v>
      </c>
      <c r="D7">
        <v>3</v>
      </c>
      <c r="E7">
        <v>3</v>
      </c>
      <c r="F7">
        <v>1</v>
      </c>
      <c r="G7" s="12">
        <v>1</v>
      </c>
      <c r="L7" s="4">
        <v>1</v>
      </c>
      <c r="M7" s="5">
        <f t="shared" ref="M7:M59" si="0">_xlfn.POISSON.DIST(L7,$M$3,TRUE)</f>
        <v>3.6108654048906452E-10</v>
      </c>
    </row>
    <row r="8" spans="2:20" x14ac:dyDescent="0.25">
      <c r="B8">
        <v>3</v>
      </c>
      <c r="C8">
        <v>15</v>
      </c>
      <c r="D8">
        <v>5</v>
      </c>
      <c r="E8">
        <v>4</v>
      </c>
      <c r="F8">
        <v>2</v>
      </c>
      <c r="G8" s="12">
        <v>1</v>
      </c>
      <c r="L8" s="4">
        <v>2</v>
      </c>
      <c r="M8" s="5">
        <f t="shared" si="0"/>
        <v>4.7010689982903209E-9</v>
      </c>
    </row>
    <row r="9" spans="2:20" x14ac:dyDescent="0.25">
      <c r="B9">
        <v>4</v>
      </c>
      <c r="C9">
        <v>12</v>
      </c>
      <c r="D9">
        <v>2</v>
      </c>
      <c r="E9">
        <v>5</v>
      </c>
      <c r="F9">
        <v>1</v>
      </c>
      <c r="G9" s="12">
        <v>1</v>
      </c>
      <c r="L9" s="4">
        <v>3</v>
      </c>
      <c r="M9" s="5">
        <f t="shared" si="0"/>
        <v>4.0867589479967458E-8</v>
      </c>
    </row>
    <row r="10" spans="2:20" x14ac:dyDescent="0.25">
      <c r="B10">
        <v>5</v>
      </c>
      <c r="C10">
        <v>14</v>
      </c>
      <c r="D10">
        <v>4</v>
      </c>
      <c r="E10">
        <v>6</v>
      </c>
      <c r="F10">
        <v>2</v>
      </c>
      <c r="G10" s="12">
        <v>1</v>
      </c>
      <c r="L10" s="4">
        <v>4</v>
      </c>
      <c r="M10" s="5">
        <f t="shared" si="0"/>
        <v>2.6690834249044957E-7</v>
      </c>
    </row>
    <row r="11" spans="2:20" x14ac:dyDescent="0.25">
      <c r="B11">
        <v>6</v>
      </c>
      <c r="C11">
        <v>8</v>
      </c>
      <c r="D11">
        <v>3</v>
      </c>
      <c r="E11">
        <v>-1</v>
      </c>
      <c r="F11">
        <v>3</v>
      </c>
      <c r="G11" s="12">
        <v>1</v>
      </c>
      <c r="L11" s="4">
        <v>5</v>
      </c>
      <c r="M11" s="5">
        <f t="shared" si="0"/>
        <v>1.3971121075428601E-6</v>
      </c>
    </row>
    <row r="12" spans="2:20" x14ac:dyDescent="0.25">
      <c r="L12" s="4">
        <v>6</v>
      </c>
      <c r="M12" s="5">
        <f t="shared" si="0"/>
        <v>6.1062944619279039E-6</v>
      </c>
    </row>
    <row r="13" spans="2:20" x14ac:dyDescent="0.25">
      <c r="L13" s="4">
        <v>7</v>
      </c>
      <c r="M13" s="5">
        <f t="shared" si="0"/>
        <v>2.292480287044592E-5</v>
      </c>
    </row>
    <row r="14" spans="2:20" x14ac:dyDescent="0.25">
      <c r="L14" s="4">
        <v>8</v>
      </c>
      <c r="M14" s="5">
        <f t="shared" si="0"/>
        <v>7.5482641647064698E-5</v>
      </c>
    </row>
    <row r="15" spans="2:20" x14ac:dyDescent="0.25">
      <c r="L15" s="4">
        <v>9</v>
      </c>
      <c r="M15" s="5">
        <f t="shared" si="0"/>
        <v>2.2147663824878362E-4</v>
      </c>
    </row>
    <row r="16" spans="2:20" x14ac:dyDescent="0.25">
      <c r="L16" s="4">
        <v>10</v>
      </c>
      <c r="M16" s="5">
        <f t="shared" si="0"/>
        <v>5.8646162975308088E-4</v>
      </c>
    </row>
    <row r="17" spans="12:13" x14ac:dyDescent="0.25">
      <c r="L17" s="4">
        <v>11</v>
      </c>
      <c r="M17" s="5">
        <f t="shared" si="0"/>
        <v>1.4159729740810293E-3</v>
      </c>
    </row>
    <row r="18" spans="12:13" x14ac:dyDescent="0.25">
      <c r="L18" s="4">
        <v>12</v>
      </c>
      <c r="M18" s="5">
        <f t="shared" si="0"/>
        <v>3.1441216080975872E-3</v>
      </c>
    </row>
    <row r="19" spans="12:13" x14ac:dyDescent="0.25">
      <c r="L19" s="4">
        <v>13</v>
      </c>
      <c r="M19" s="5">
        <f t="shared" si="0"/>
        <v>6.46748436582174E-3</v>
      </c>
    </row>
    <row r="20" spans="12:13" x14ac:dyDescent="0.25">
      <c r="L20" s="4">
        <v>14</v>
      </c>
      <c r="M20" s="5">
        <f t="shared" si="0"/>
        <v>1.2402060718900579E-2</v>
      </c>
    </row>
    <row r="21" spans="12:13" x14ac:dyDescent="0.25">
      <c r="L21" s="4">
        <v>15</v>
      </c>
      <c r="M21" s="5">
        <f t="shared" si="0"/>
        <v>2.229302130736531E-2</v>
      </c>
    </row>
    <row r="22" spans="12:13" x14ac:dyDescent="0.25">
      <c r="L22" s="4">
        <v>16</v>
      </c>
      <c r="M22" s="5">
        <f t="shared" si="0"/>
        <v>3.7747647226841458E-2</v>
      </c>
    </row>
    <row r="23" spans="12:13" x14ac:dyDescent="0.25">
      <c r="L23" s="4">
        <v>17</v>
      </c>
      <c r="M23" s="5">
        <f t="shared" si="0"/>
        <v>6.0475038284894651E-2</v>
      </c>
    </row>
    <row r="24" spans="12:13" x14ac:dyDescent="0.25">
      <c r="L24" s="4">
        <v>18</v>
      </c>
      <c r="M24" s="5">
        <f t="shared" si="0"/>
        <v>9.2040859198857364E-2</v>
      </c>
    </row>
    <row r="25" spans="12:13" x14ac:dyDescent="0.25">
      <c r="L25" s="4">
        <v>19</v>
      </c>
      <c r="M25" s="5">
        <f t="shared" si="0"/>
        <v>0.13357483408565041</v>
      </c>
    </row>
    <row r="26" spans="12:13" x14ac:dyDescent="0.25">
      <c r="L26" s="4">
        <v>20</v>
      </c>
      <c r="M26" s="5">
        <f t="shared" si="0"/>
        <v>0.18549230269414177</v>
      </c>
    </row>
    <row r="27" spans="12:13" x14ac:dyDescent="0.25">
      <c r="L27" s="4">
        <v>21</v>
      </c>
      <c r="M27" s="5">
        <f t="shared" si="0"/>
        <v>0.24729881294234568</v>
      </c>
    </row>
    <row r="28" spans="12:13" x14ac:dyDescent="0.25">
      <c r="L28" s="4">
        <v>22</v>
      </c>
      <c r="M28" s="5">
        <f t="shared" si="0"/>
        <v>0.31753348367894108</v>
      </c>
    </row>
    <row r="29" spans="12:13" x14ac:dyDescent="0.25">
      <c r="L29" s="4">
        <v>23</v>
      </c>
      <c r="M29" s="5">
        <f t="shared" si="0"/>
        <v>0.39387551708828389</v>
      </c>
    </row>
    <row r="30" spans="12:13" x14ac:dyDescent="0.25">
      <c r="L30" s="4">
        <v>24</v>
      </c>
      <c r="M30" s="5">
        <f t="shared" si="0"/>
        <v>0.47339846855634937</v>
      </c>
    </row>
    <row r="31" spans="12:13" x14ac:dyDescent="0.25">
      <c r="L31" s="4">
        <v>25</v>
      </c>
      <c r="M31" s="5">
        <f t="shared" si="0"/>
        <v>0.5529214200244148</v>
      </c>
    </row>
    <row r="32" spans="12:13" x14ac:dyDescent="0.25">
      <c r="L32" s="4">
        <v>26</v>
      </c>
      <c r="M32" s="5">
        <f t="shared" si="0"/>
        <v>0.62938579643601611</v>
      </c>
    </row>
    <row r="33" spans="12:13" x14ac:dyDescent="0.25">
      <c r="L33" s="4">
        <v>27</v>
      </c>
      <c r="M33" s="5">
        <f t="shared" si="0"/>
        <v>0.70018614496527676</v>
      </c>
    </row>
    <row r="34" spans="12:13" x14ac:dyDescent="0.25">
      <c r="L34" s="4">
        <v>28</v>
      </c>
      <c r="M34" s="5">
        <f t="shared" si="0"/>
        <v>0.76340074186640217</v>
      </c>
    </row>
    <row r="35" spans="12:13" x14ac:dyDescent="0.25">
      <c r="L35" s="4">
        <v>29</v>
      </c>
      <c r="M35" s="5">
        <f t="shared" si="0"/>
        <v>0.81789608402254488</v>
      </c>
    </row>
    <row r="36" spans="12:13" x14ac:dyDescent="0.25">
      <c r="L36" s="4">
        <v>30</v>
      </c>
      <c r="M36" s="5">
        <f t="shared" si="0"/>
        <v>0.8633088691526638</v>
      </c>
    </row>
    <row r="37" spans="12:13" x14ac:dyDescent="0.25">
      <c r="L37" s="4">
        <v>31</v>
      </c>
      <c r="M37" s="5">
        <f t="shared" si="0"/>
        <v>0.89993208296727578</v>
      </c>
    </row>
    <row r="38" spans="12:13" x14ac:dyDescent="0.25">
      <c r="L38" s="4">
        <v>32</v>
      </c>
      <c r="M38" s="5">
        <f t="shared" si="0"/>
        <v>0.9285439687599415</v>
      </c>
    </row>
    <row r="39" spans="12:13" x14ac:dyDescent="0.25">
      <c r="L39" s="4">
        <v>33</v>
      </c>
      <c r="M39" s="5">
        <f t="shared" si="0"/>
        <v>0.95021963981499113</v>
      </c>
    </row>
    <row r="40" spans="12:13" x14ac:dyDescent="0.25">
      <c r="L40" s="4">
        <v>34</v>
      </c>
      <c r="M40" s="5">
        <f t="shared" si="0"/>
        <v>0.96615763323782178</v>
      </c>
    </row>
    <row r="41" spans="12:13" x14ac:dyDescent="0.25">
      <c r="L41" s="4">
        <v>35</v>
      </c>
      <c r="M41" s="5">
        <f t="shared" si="0"/>
        <v>0.9775419142541294</v>
      </c>
    </row>
    <row r="42" spans="12:13" x14ac:dyDescent="0.25">
      <c r="L42" s="4">
        <v>36</v>
      </c>
      <c r="M42" s="5">
        <f t="shared" si="0"/>
        <v>0.98544766495989866</v>
      </c>
    </row>
    <row r="43" spans="12:13" x14ac:dyDescent="0.25">
      <c r="L43" s="4">
        <v>37</v>
      </c>
      <c r="M43" s="5">
        <f t="shared" si="0"/>
        <v>0.99078938840974273</v>
      </c>
    </row>
    <row r="44" spans="12:13" x14ac:dyDescent="0.25">
      <c r="L44" s="4">
        <v>38</v>
      </c>
      <c r="M44" s="5">
        <f t="shared" si="0"/>
        <v>0.99430368015306114</v>
      </c>
    </row>
    <row r="45" spans="12:13" x14ac:dyDescent="0.25">
      <c r="L45" s="4">
        <v>39</v>
      </c>
      <c r="M45" s="5">
        <f t="shared" si="0"/>
        <v>0.99655643127057292</v>
      </c>
    </row>
    <row r="46" spans="12:13" x14ac:dyDescent="0.25">
      <c r="L46" s="4">
        <v>40</v>
      </c>
      <c r="M46" s="5">
        <f t="shared" si="0"/>
        <v>0.99796440071901782</v>
      </c>
    </row>
    <row r="47" spans="12:13" x14ac:dyDescent="0.25">
      <c r="L47" s="4">
        <v>41</v>
      </c>
      <c r="M47" s="5">
        <f t="shared" si="0"/>
        <v>0.99882291867538664</v>
      </c>
    </row>
    <row r="48" spans="12:13" x14ac:dyDescent="0.25">
      <c r="L48" s="4">
        <v>42</v>
      </c>
      <c r="M48" s="5">
        <f t="shared" si="0"/>
        <v>0.99933394126846342</v>
      </c>
    </row>
    <row r="49" spans="12:13" x14ac:dyDescent="0.25">
      <c r="L49" s="4">
        <v>43</v>
      </c>
      <c r="M49" s="5">
        <f t="shared" si="0"/>
        <v>0.99963104742722886</v>
      </c>
    </row>
    <row r="50" spans="12:13" x14ac:dyDescent="0.25">
      <c r="L50" s="4">
        <v>44</v>
      </c>
      <c r="M50" s="5">
        <f t="shared" si="0"/>
        <v>0.99979985774470925</v>
      </c>
    </row>
    <row r="51" spans="12:13" x14ac:dyDescent="0.25">
      <c r="L51" s="4">
        <v>45</v>
      </c>
      <c r="M51" s="5">
        <f t="shared" si="0"/>
        <v>0.9998936412544206</v>
      </c>
    </row>
    <row r="52" spans="12:13" x14ac:dyDescent="0.25">
      <c r="L52" s="4">
        <v>46</v>
      </c>
      <c r="M52" s="5">
        <f t="shared" si="0"/>
        <v>0.99994461055317685</v>
      </c>
    </row>
    <row r="53" spans="12:13" x14ac:dyDescent="0.25">
      <c r="L53" s="4">
        <v>47</v>
      </c>
      <c r="M53" s="5">
        <f t="shared" si="0"/>
        <v>0.99997172188230232</v>
      </c>
    </row>
    <row r="54" spans="12:13" x14ac:dyDescent="0.25">
      <c r="L54" s="4">
        <v>48</v>
      </c>
      <c r="M54" s="5">
        <f t="shared" si="0"/>
        <v>0.99998584236622201</v>
      </c>
    </row>
    <row r="55" spans="12:13" x14ac:dyDescent="0.25">
      <c r="L55" s="4">
        <v>49</v>
      </c>
      <c r="M55" s="5">
        <f t="shared" si="0"/>
        <v>0.99999304669475242</v>
      </c>
    </row>
    <row r="56" spans="12:13" x14ac:dyDescent="0.25">
      <c r="L56" s="4">
        <v>50</v>
      </c>
      <c r="M56" s="5">
        <f t="shared" si="0"/>
        <v>0.99999664885901751</v>
      </c>
    </row>
    <row r="57" spans="12:13" x14ac:dyDescent="0.25">
      <c r="L57" s="4">
        <v>51</v>
      </c>
      <c r="M57" s="5">
        <f t="shared" si="0"/>
        <v>0.99999841462581429</v>
      </c>
    </row>
    <row r="58" spans="12:13" x14ac:dyDescent="0.25">
      <c r="L58" s="4">
        <v>52</v>
      </c>
      <c r="M58" s="5">
        <f t="shared" si="0"/>
        <v>0.99999926355215885</v>
      </c>
    </row>
    <row r="59" spans="12:13" x14ac:dyDescent="0.25">
      <c r="L59" s="8">
        <v>53</v>
      </c>
      <c r="M59" s="9">
        <f t="shared" si="0"/>
        <v>0.99999966398911377</v>
      </c>
    </row>
  </sheetData>
  <mergeCells count="2">
    <mergeCell ref="B1:K1"/>
    <mergeCell ref="L1:T1"/>
  </mergeCells>
  <pageMargins left="0.7" right="0.7" top="0.75" bottom="0.75" header="0.3" footer="0.3"/>
  <pageSetup orientation="portrait" horizontalDpi="300" verticalDpi="30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5DF5E-1ADD-4BEC-BAFA-915D9E7A18D1}">
  <sheetPr codeName="Sheet2"/>
  <dimension ref="A1:M116"/>
  <sheetViews>
    <sheetView tabSelected="1" workbookViewId="0">
      <selection activeCell="A2" sqref="A2"/>
    </sheetView>
  </sheetViews>
  <sheetFormatPr defaultRowHeight="10.5" x14ac:dyDescent="0.25"/>
  <cols>
    <col min="1" max="7" width="24.25" customWidth="1"/>
    <col min="8" max="8" width="24.25" style="10" customWidth="1"/>
    <col min="11" max="11" width="13.125" customWidth="1"/>
    <col min="12" max="12" width="9.5" customWidth="1"/>
    <col min="13" max="13" width="13.875" customWidth="1"/>
  </cols>
  <sheetData>
    <row r="1" spans="1:13" x14ac:dyDescent="0.25">
      <c r="A1" t="s">
        <v>5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s="10" t="s">
        <v>13</v>
      </c>
      <c r="K1" t="s">
        <v>5</v>
      </c>
      <c r="L1" t="s">
        <v>2</v>
      </c>
      <c r="M1" t="s">
        <v>17</v>
      </c>
    </row>
    <row r="2" spans="1:13" x14ac:dyDescent="0.25">
      <c r="A2">
        <v>1</v>
      </c>
      <c r="B2">
        <v>1</v>
      </c>
      <c r="C2">
        <v>91</v>
      </c>
      <c r="D2">
        <v>-1</v>
      </c>
      <c r="E2" t="b">
        <v>1</v>
      </c>
      <c r="F2">
        <v>0</v>
      </c>
      <c r="G2">
        <f>IF(tblResults[[#This Row],[Left System]]=0,2881-tblResults[[#This Row],[Entered System]],tblResults[[#This Row],[Left System]]-tblResults[[#This Row],[Entered System]]+1)</f>
        <v>91</v>
      </c>
      <c r="H2" s="10">
        <f>tblResults[[#This Row],[Idle Time]]/tblResults[[#This Row],[Time in System]]</f>
        <v>0</v>
      </c>
      <c r="K2">
        <v>6</v>
      </c>
      <c r="L2">
        <v>2</v>
      </c>
      <c r="M2">
        <v>4</v>
      </c>
    </row>
    <row r="3" spans="1:13" x14ac:dyDescent="0.25">
      <c r="A3">
        <v>2</v>
      </c>
      <c r="B3">
        <v>20</v>
      </c>
      <c r="C3">
        <v>97</v>
      </c>
      <c r="D3">
        <v>-1</v>
      </c>
      <c r="E3" t="b">
        <v>1</v>
      </c>
      <c r="F3">
        <v>5</v>
      </c>
      <c r="G3">
        <f>IF(tblResults[[#This Row],[Left System]]=0,2881-tblResults[[#This Row],[Entered System]],tblResults[[#This Row],[Left System]]-tblResults[[#This Row],[Entered System]]+1)</f>
        <v>78</v>
      </c>
      <c r="H3" s="10">
        <f>tblResults[[#This Row],[Idle Time]]/tblResults[[#This Row],[Time in System]]</f>
        <v>6.4102564102564097E-2</v>
      </c>
      <c r="K3">
        <v>9</v>
      </c>
      <c r="L3">
        <v>1</v>
      </c>
      <c r="M3">
        <v>11</v>
      </c>
    </row>
    <row r="4" spans="1:13" x14ac:dyDescent="0.25">
      <c r="A4">
        <v>3</v>
      </c>
      <c r="B4">
        <v>47</v>
      </c>
      <c r="C4">
        <v>124</v>
      </c>
      <c r="D4">
        <v>-1</v>
      </c>
      <c r="E4" t="b">
        <v>1</v>
      </c>
      <c r="F4">
        <v>0</v>
      </c>
      <c r="G4">
        <f>IF(tblResults[[#This Row],[Left System]]=0,2881-tblResults[[#This Row],[Entered System]],tblResults[[#This Row],[Left System]]-tblResults[[#This Row],[Entered System]]+1)</f>
        <v>78</v>
      </c>
      <c r="H4" s="10">
        <f>tblResults[[#This Row],[Idle Time]]/tblResults[[#This Row],[Time in System]]</f>
        <v>0</v>
      </c>
      <c r="K4">
        <v>9</v>
      </c>
      <c r="L4">
        <v>3</v>
      </c>
      <c r="M4">
        <v>4</v>
      </c>
    </row>
    <row r="5" spans="1:13" x14ac:dyDescent="0.25">
      <c r="A5">
        <v>4</v>
      </c>
      <c r="B5">
        <v>75</v>
      </c>
      <c r="C5">
        <v>140</v>
      </c>
      <c r="D5">
        <v>-1</v>
      </c>
      <c r="E5" t="b">
        <v>1</v>
      </c>
      <c r="F5">
        <v>0</v>
      </c>
      <c r="G5">
        <f>IF(tblResults[[#This Row],[Left System]]=0,2881-tblResults[[#This Row],[Entered System]],tblResults[[#This Row],[Left System]]-tblResults[[#This Row],[Entered System]]+1)</f>
        <v>66</v>
      </c>
      <c r="H5" s="10">
        <f>tblResults[[#This Row],[Idle Time]]/tblResults[[#This Row],[Time in System]]</f>
        <v>0</v>
      </c>
      <c r="K5">
        <v>12</v>
      </c>
      <c r="L5">
        <v>3</v>
      </c>
      <c r="M5">
        <v>3</v>
      </c>
    </row>
    <row r="6" spans="1:13" x14ac:dyDescent="0.25">
      <c r="A6">
        <v>5</v>
      </c>
      <c r="B6">
        <v>98</v>
      </c>
      <c r="C6">
        <v>198</v>
      </c>
      <c r="D6">
        <v>-1</v>
      </c>
      <c r="E6" t="b">
        <v>1</v>
      </c>
      <c r="F6">
        <v>0</v>
      </c>
      <c r="G6">
        <f>IF(tblResults[[#This Row],[Left System]]=0,2881-tblResults[[#This Row],[Entered System]],tblResults[[#This Row],[Left System]]-tblResults[[#This Row],[Entered System]]+1)</f>
        <v>101</v>
      </c>
      <c r="H6" s="10">
        <f>tblResults[[#This Row],[Idle Time]]/tblResults[[#This Row],[Time in System]]</f>
        <v>0</v>
      </c>
      <c r="K6">
        <v>16</v>
      </c>
      <c r="L6">
        <v>3</v>
      </c>
      <c r="M6">
        <v>4</v>
      </c>
    </row>
    <row r="7" spans="1:13" x14ac:dyDescent="0.25">
      <c r="A7">
        <v>6</v>
      </c>
      <c r="B7">
        <v>122</v>
      </c>
      <c r="C7">
        <v>209</v>
      </c>
      <c r="D7">
        <v>-1</v>
      </c>
      <c r="E7" t="b">
        <v>1</v>
      </c>
      <c r="F7">
        <v>0</v>
      </c>
      <c r="G7">
        <f>IF(tblResults[[#This Row],[Left System]]=0,2881-tblResults[[#This Row],[Entered System]],tblResults[[#This Row],[Left System]]-tblResults[[#This Row],[Entered System]]+1)</f>
        <v>88</v>
      </c>
      <c r="H7" s="10">
        <f>tblResults[[#This Row],[Idle Time]]/tblResults[[#This Row],[Time in System]]</f>
        <v>0</v>
      </c>
      <c r="K7">
        <v>17</v>
      </c>
      <c r="L7">
        <v>1</v>
      </c>
      <c r="M7">
        <v>11</v>
      </c>
    </row>
    <row r="8" spans="1:13" x14ac:dyDescent="0.25">
      <c r="A8">
        <v>7</v>
      </c>
      <c r="B8">
        <v>148</v>
      </c>
      <c r="C8">
        <v>225</v>
      </c>
      <c r="D8">
        <v>-1</v>
      </c>
      <c r="E8" t="b">
        <v>1</v>
      </c>
      <c r="F8">
        <v>0</v>
      </c>
      <c r="G8">
        <f>IF(tblResults[[#This Row],[Left System]]=0,2881-tblResults[[#This Row],[Entered System]],tblResults[[#This Row],[Left System]]-tblResults[[#This Row],[Entered System]]+1)</f>
        <v>78</v>
      </c>
      <c r="H8" s="10">
        <f>tblResults[[#This Row],[Idle Time]]/tblResults[[#This Row],[Time in System]]</f>
        <v>0</v>
      </c>
      <c r="K8">
        <v>16</v>
      </c>
      <c r="L8">
        <v>5</v>
      </c>
      <c r="M8">
        <v>7</v>
      </c>
    </row>
    <row r="9" spans="1:13" x14ac:dyDescent="0.25">
      <c r="A9">
        <v>8</v>
      </c>
      <c r="B9">
        <v>168</v>
      </c>
      <c r="C9">
        <v>252</v>
      </c>
      <c r="D9">
        <v>-1</v>
      </c>
      <c r="E9" t="b">
        <v>1</v>
      </c>
      <c r="F9">
        <v>0</v>
      </c>
      <c r="G9">
        <f>IF(tblResults[[#This Row],[Left System]]=0,2881-tblResults[[#This Row],[Entered System]],tblResults[[#This Row],[Left System]]-tblResults[[#This Row],[Entered System]]+1)</f>
        <v>85</v>
      </c>
      <c r="H9" s="10">
        <f>tblResults[[#This Row],[Idle Time]]/tblResults[[#This Row],[Time in System]]</f>
        <v>0</v>
      </c>
      <c r="K9">
        <v>20</v>
      </c>
      <c r="L9">
        <v>1</v>
      </c>
      <c r="M9">
        <v>10</v>
      </c>
    </row>
    <row r="10" spans="1:13" x14ac:dyDescent="0.25">
      <c r="A10">
        <v>9</v>
      </c>
      <c r="B10">
        <v>206</v>
      </c>
      <c r="C10">
        <v>293</v>
      </c>
      <c r="D10">
        <v>-1</v>
      </c>
      <c r="E10" t="b">
        <v>1</v>
      </c>
      <c r="F10">
        <v>0</v>
      </c>
      <c r="G10">
        <f>IF(tblResults[[#This Row],[Left System]]=0,2881-tblResults[[#This Row],[Entered System]],tblResults[[#This Row],[Left System]]-tblResults[[#This Row],[Entered System]]+1)</f>
        <v>88</v>
      </c>
      <c r="H10" s="10">
        <f>tblResults[[#This Row],[Idle Time]]/tblResults[[#This Row],[Time in System]]</f>
        <v>0</v>
      </c>
      <c r="K10">
        <v>22</v>
      </c>
      <c r="L10">
        <v>3</v>
      </c>
      <c r="M10">
        <v>5</v>
      </c>
    </row>
    <row r="11" spans="1:13" x14ac:dyDescent="0.25">
      <c r="A11">
        <v>10</v>
      </c>
      <c r="B11">
        <v>234</v>
      </c>
      <c r="C11">
        <v>322</v>
      </c>
      <c r="D11">
        <v>-1</v>
      </c>
      <c r="E11" t="b">
        <v>1</v>
      </c>
      <c r="F11">
        <v>3</v>
      </c>
      <c r="G11">
        <f>IF(tblResults[[#This Row],[Left System]]=0,2881-tblResults[[#This Row],[Entered System]],tblResults[[#This Row],[Left System]]-tblResults[[#This Row],[Entered System]]+1)</f>
        <v>89</v>
      </c>
      <c r="H11" s="10">
        <f>tblResults[[#This Row],[Idle Time]]/tblResults[[#This Row],[Time in System]]</f>
        <v>3.3707865168539325E-2</v>
      </c>
      <c r="K11">
        <v>22</v>
      </c>
      <c r="L11">
        <v>6</v>
      </c>
      <c r="M11">
        <v>2</v>
      </c>
    </row>
    <row r="12" spans="1:13" x14ac:dyDescent="0.25">
      <c r="A12">
        <v>11</v>
      </c>
      <c r="B12">
        <v>260</v>
      </c>
      <c r="C12">
        <v>327</v>
      </c>
      <c r="D12">
        <v>-1</v>
      </c>
      <c r="E12" t="b">
        <v>1</v>
      </c>
      <c r="F12">
        <v>0</v>
      </c>
      <c r="G12">
        <f>IF(tblResults[[#This Row],[Left System]]=0,2881-tblResults[[#This Row],[Entered System]],tblResults[[#This Row],[Left System]]-tblResults[[#This Row],[Entered System]]+1)</f>
        <v>68</v>
      </c>
      <c r="H12" s="10">
        <f>tblResults[[#This Row],[Idle Time]]/tblResults[[#This Row],[Time in System]]</f>
        <v>0</v>
      </c>
      <c r="K12">
        <v>23</v>
      </c>
      <c r="L12">
        <v>5</v>
      </c>
      <c r="M12">
        <v>3</v>
      </c>
    </row>
    <row r="13" spans="1:13" x14ac:dyDescent="0.25">
      <c r="A13">
        <v>12</v>
      </c>
      <c r="B13">
        <v>289</v>
      </c>
      <c r="C13">
        <v>365</v>
      </c>
      <c r="D13">
        <v>-1</v>
      </c>
      <c r="E13" t="b">
        <v>1</v>
      </c>
      <c r="F13">
        <v>0</v>
      </c>
      <c r="G13">
        <f>IF(tblResults[[#This Row],[Left System]]=0,2881-tblResults[[#This Row],[Entered System]],tblResults[[#This Row],[Left System]]-tblResults[[#This Row],[Entered System]]+1)</f>
        <v>77</v>
      </c>
      <c r="H13" s="10">
        <f>tblResults[[#This Row],[Idle Time]]/tblResults[[#This Row],[Time in System]]</f>
        <v>0</v>
      </c>
      <c r="K13">
        <v>23</v>
      </c>
      <c r="L13">
        <v>6</v>
      </c>
      <c r="M13">
        <v>2</v>
      </c>
    </row>
    <row r="14" spans="1:13" x14ac:dyDescent="0.25">
      <c r="A14">
        <v>13</v>
      </c>
      <c r="B14">
        <v>306</v>
      </c>
      <c r="C14">
        <v>374</v>
      </c>
      <c r="D14">
        <v>-1</v>
      </c>
      <c r="E14" t="b">
        <v>1</v>
      </c>
      <c r="F14">
        <v>0</v>
      </c>
      <c r="G14">
        <f>IF(tblResults[[#This Row],[Left System]]=0,2881-tblResults[[#This Row],[Entered System]],tblResults[[#This Row],[Left System]]-tblResults[[#This Row],[Entered System]]+1)</f>
        <v>69</v>
      </c>
      <c r="H14" s="10">
        <f>tblResults[[#This Row],[Idle Time]]/tblResults[[#This Row],[Time in System]]</f>
        <v>0</v>
      </c>
      <c r="K14">
        <v>28</v>
      </c>
      <c r="L14">
        <v>4</v>
      </c>
      <c r="M14">
        <v>7</v>
      </c>
    </row>
    <row r="15" spans="1:13" x14ac:dyDescent="0.25">
      <c r="A15">
        <v>14</v>
      </c>
      <c r="B15">
        <v>322</v>
      </c>
      <c r="C15">
        <v>413</v>
      </c>
      <c r="D15">
        <v>-1</v>
      </c>
      <c r="E15" t="b">
        <v>1</v>
      </c>
      <c r="F15">
        <v>0</v>
      </c>
      <c r="G15">
        <f>IF(tblResults[[#This Row],[Left System]]=0,2881-tblResults[[#This Row],[Entered System]],tblResults[[#This Row],[Left System]]-tblResults[[#This Row],[Entered System]]+1)</f>
        <v>92</v>
      </c>
      <c r="H15" s="10">
        <f>tblResults[[#This Row],[Idle Time]]/tblResults[[#This Row],[Time in System]]</f>
        <v>0</v>
      </c>
      <c r="K15">
        <v>38</v>
      </c>
      <c r="L15">
        <v>3</v>
      </c>
      <c r="M15">
        <v>1</v>
      </c>
    </row>
    <row r="16" spans="1:13" x14ac:dyDescent="0.25">
      <c r="A16">
        <v>15</v>
      </c>
      <c r="B16">
        <v>347</v>
      </c>
      <c r="C16">
        <v>423</v>
      </c>
      <c r="D16">
        <v>-1</v>
      </c>
      <c r="E16" t="b">
        <v>1</v>
      </c>
      <c r="F16">
        <v>0</v>
      </c>
      <c r="G16">
        <f>IF(tblResults[[#This Row],[Left System]]=0,2881-tblResults[[#This Row],[Entered System]],tblResults[[#This Row],[Left System]]-tblResults[[#This Row],[Entered System]]+1)</f>
        <v>77</v>
      </c>
      <c r="H16" s="10">
        <f>tblResults[[#This Row],[Idle Time]]/tblResults[[#This Row],[Time in System]]</f>
        <v>0</v>
      </c>
      <c r="K16">
        <v>38</v>
      </c>
      <c r="L16">
        <v>5</v>
      </c>
      <c r="M16">
        <v>2</v>
      </c>
    </row>
    <row r="17" spans="1:13" x14ac:dyDescent="0.25">
      <c r="A17">
        <v>16</v>
      </c>
      <c r="B17">
        <v>371</v>
      </c>
      <c r="C17">
        <v>457</v>
      </c>
      <c r="D17">
        <v>-1</v>
      </c>
      <c r="E17" t="b">
        <v>1</v>
      </c>
      <c r="F17">
        <v>0</v>
      </c>
      <c r="G17">
        <f>IF(tblResults[[#This Row],[Left System]]=0,2881-tblResults[[#This Row],[Entered System]],tblResults[[#This Row],[Left System]]-tblResults[[#This Row],[Entered System]]+1)</f>
        <v>87</v>
      </c>
      <c r="H17" s="10">
        <f>tblResults[[#This Row],[Idle Time]]/tblResults[[#This Row],[Time in System]]</f>
        <v>0</v>
      </c>
      <c r="K17">
        <v>41</v>
      </c>
      <c r="L17">
        <v>2</v>
      </c>
      <c r="M17">
        <v>4</v>
      </c>
    </row>
    <row r="18" spans="1:13" x14ac:dyDescent="0.25">
      <c r="A18">
        <v>17</v>
      </c>
      <c r="B18">
        <v>397</v>
      </c>
      <c r="C18">
        <v>490</v>
      </c>
      <c r="D18">
        <v>-1</v>
      </c>
      <c r="E18" t="b">
        <v>1</v>
      </c>
      <c r="F18">
        <v>0</v>
      </c>
      <c r="G18">
        <f>IF(tblResults[[#This Row],[Left System]]=0,2881-tblResults[[#This Row],[Entered System]],tblResults[[#This Row],[Left System]]-tblResults[[#This Row],[Entered System]]+1)</f>
        <v>94</v>
      </c>
      <c r="H18" s="10">
        <f>tblResults[[#This Row],[Idle Time]]/tblResults[[#This Row],[Time in System]]</f>
        <v>0</v>
      </c>
      <c r="K18">
        <v>42</v>
      </c>
      <c r="L18">
        <v>2</v>
      </c>
      <c r="M18">
        <v>5</v>
      </c>
    </row>
    <row r="19" spans="1:13" x14ac:dyDescent="0.25">
      <c r="A19">
        <v>18</v>
      </c>
      <c r="B19">
        <v>417</v>
      </c>
      <c r="C19">
        <v>506</v>
      </c>
      <c r="D19">
        <v>-1</v>
      </c>
      <c r="E19" t="b">
        <v>1</v>
      </c>
      <c r="F19">
        <v>17</v>
      </c>
      <c r="G19">
        <f>IF(tblResults[[#This Row],[Left System]]=0,2881-tblResults[[#This Row],[Entered System]],tblResults[[#This Row],[Left System]]-tblResults[[#This Row],[Entered System]]+1)</f>
        <v>90</v>
      </c>
      <c r="H19" s="10">
        <f>tblResults[[#This Row],[Idle Time]]/tblResults[[#This Row],[Time in System]]</f>
        <v>0.18888888888888888</v>
      </c>
      <c r="K19">
        <v>43</v>
      </c>
      <c r="L19">
        <v>2</v>
      </c>
      <c r="M19">
        <v>3</v>
      </c>
    </row>
    <row r="20" spans="1:13" x14ac:dyDescent="0.25">
      <c r="A20">
        <v>19</v>
      </c>
      <c r="B20">
        <v>441</v>
      </c>
      <c r="C20">
        <v>522</v>
      </c>
      <c r="D20">
        <v>-1</v>
      </c>
      <c r="E20" t="b">
        <v>1</v>
      </c>
      <c r="F20">
        <v>1</v>
      </c>
      <c r="G20">
        <f>IF(tblResults[[#This Row],[Left System]]=0,2881-tblResults[[#This Row],[Entered System]],tblResults[[#This Row],[Left System]]-tblResults[[#This Row],[Entered System]]+1)</f>
        <v>82</v>
      </c>
      <c r="H20" s="10">
        <f>tblResults[[#This Row],[Idle Time]]/tblResults[[#This Row],[Time in System]]</f>
        <v>1.2195121951219513E-2</v>
      </c>
      <c r="K20">
        <v>42</v>
      </c>
      <c r="L20">
        <v>6</v>
      </c>
      <c r="M20">
        <v>1</v>
      </c>
    </row>
    <row r="21" spans="1:13" x14ac:dyDescent="0.25">
      <c r="A21">
        <v>20</v>
      </c>
      <c r="B21">
        <v>475</v>
      </c>
      <c r="C21">
        <v>568</v>
      </c>
      <c r="D21">
        <v>-1</v>
      </c>
      <c r="E21" t="b">
        <v>1</v>
      </c>
      <c r="F21">
        <v>0</v>
      </c>
      <c r="G21">
        <f>IF(tblResults[[#This Row],[Left System]]=0,2881-tblResults[[#This Row],[Entered System]],tblResults[[#This Row],[Left System]]-tblResults[[#This Row],[Entered System]]+1)</f>
        <v>94</v>
      </c>
      <c r="H21" s="10">
        <f>tblResults[[#This Row],[Idle Time]]/tblResults[[#This Row],[Time in System]]</f>
        <v>0</v>
      </c>
      <c r="K21">
        <v>43</v>
      </c>
      <c r="L21">
        <v>6</v>
      </c>
      <c r="M21">
        <v>2</v>
      </c>
    </row>
    <row r="22" spans="1:13" x14ac:dyDescent="0.25">
      <c r="A22">
        <v>21</v>
      </c>
      <c r="B22">
        <v>496</v>
      </c>
      <c r="C22">
        <v>589</v>
      </c>
      <c r="D22">
        <v>-1</v>
      </c>
      <c r="E22" t="b">
        <v>1</v>
      </c>
      <c r="F22">
        <v>7</v>
      </c>
      <c r="G22">
        <f>IF(tblResults[[#This Row],[Left System]]=0,2881-tblResults[[#This Row],[Entered System]],tblResults[[#This Row],[Left System]]-tblResults[[#This Row],[Entered System]]+1)</f>
        <v>94</v>
      </c>
      <c r="H22" s="10">
        <f>tblResults[[#This Row],[Idle Time]]/tblResults[[#This Row],[Time in System]]</f>
        <v>7.4468085106382975E-2</v>
      </c>
      <c r="K22">
        <v>46</v>
      </c>
      <c r="L22">
        <v>2</v>
      </c>
      <c r="M22">
        <v>4</v>
      </c>
    </row>
    <row r="23" spans="1:13" x14ac:dyDescent="0.25">
      <c r="A23">
        <v>22</v>
      </c>
      <c r="B23">
        <v>513</v>
      </c>
      <c r="C23">
        <v>588</v>
      </c>
      <c r="D23">
        <v>-1</v>
      </c>
      <c r="E23" t="b">
        <v>1</v>
      </c>
      <c r="F23">
        <v>0</v>
      </c>
      <c r="G23">
        <f>IF(tblResults[[#This Row],[Left System]]=0,2881-tblResults[[#This Row],[Entered System]],tblResults[[#This Row],[Left System]]-tblResults[[#This Row],[Entered System]]+1)</f>
        <v>76</v>
      </c>
      <c r="H23" s="10">
        <f>tblResults[[#This Row],[Idle Time]]/tblResults[[#This Row],[Time in System]]</f>
        <v>0</v>
      </c>
      <c r="K23">
        <v>45</v>
      </c>
      <c r="L23">
        <v>4</v>
      </c>
      <c r="M23">
        <v>7</v>
      </c>
    </row>
    <row r="24" spans="1:13" x14ac:dyDescent="0.25">
      <c r="A24">
        <v>23</v>
      </c>
      <c r="B24">
        <v>537</v>
      </c>
      <c r="C24">
        <v>608</v>
      </c>
      <c r="D24">
        <v>-1</v>
      </c>
      <c r="E24" t="b">
        <v>1</v>
      </c>
      <c r="F24">
        <v>0</v>
      </c>
      <c r="G24">
        <f>IF(tblResults[[#This Row],[Left System]]=0,2881-tblResults[[#This Row],[Entered System]],tblResults[[#This Row],[Left System]]-tblResults[[#This Row],[Entered System]]+1)</f>
        <v>72</v>
      </c>
      <c r="H24" s="10">
        <f>tblResults[[#This Row],[Idle Time]]/tblResults[[#This Row],[Time in System]]</f>
        <v>0</v>
      </c>
      <c r="K24">
        <v>48</v>
      </c>
      <c r="L24">
        <v>2</v>
      </c>
      <c r="M24">
        <v>4</v>
      </c>
    </row>
    <row r="25" spans="1:13" x14ac:dyDescent="0.25">
      <c r="A25">
        <v>24</v>
      </c>
      <c r="B25">
        <v>562</v>
      </c>
      <c r="C25">
        <v>634</v>
      </c>
      <c r="D25">
        <v>-1</v>
      </c>
      <c r="E25" t="b">
        <v>1</v>
      </c>
      <c r="F25">
        <v>0</v>
      </c>
      <c r="G25">
        <f>IF(tblResults[[#This Row],[Left System]]=0,2881-tblResults[[#This Row],[Entered System]],tblResults[[#This Row],[Left System]]-tblResults[[#This Row],[Entered System]]+1)</f>
        <v>73</v>
      </c>
      <c r="H25" s="10">
        <f>tblResults[[#This Row],[Idle Time]]/tblResults[[#This Row],[Time in System]]</f>
        <v>0</v>
      </c>
      <c r="K25">
        <v>47</v>
      </c>
      <c r="L25">
        <v>5</v>
      </c>
      <c r="M25">
        <v>6</v>
      </c>
    </row>
    <row r="26" spans="1:13" x14ac:dyDescent="0.25">
      <c r="A26">
        <v>25</v>
      </c>
      <c r="B26">
        <v>587</v>
      </c>
      <c r="C26">
        <v>663</v>
      </c>
      <c r="D26">
        <v>-1</v>
      </c>
      <c r="E26" t="b">
        <v>1</v>
      </c>
      <c r="F26">
        <v>0</v>
      </c>
      <c r="G26">
        <f>IF(tblResults[[#This Row],[Left System]]=0,2881-tblResults[[#This Row],[Entered System]],tblResults[[#This Row],[Left System]]-tblResults[[#This Row],[Entered System]]+1)</f>
        <v>77</v>
      </c>
      <c r="H26" s="10">
        <f>tblResults[[#This Row],[Idle Time]]/tblResults[[#This Row],[Time in System]]</f>
        <v>0</v>
      </c>
      <c r="K26">
        <v>57</v>
      </c>
      <c r="L26">
        <v>4</v>
      </c>
      <c r="M26">
        <v>8</v>
      </c>
    </row>
    <row r="27" spans="1:13" x14ac:dyDescent="0.25">
      <c r="A27">
        <v>26</v>
      </c>
      <c r="B27">
        <v>617</v>
      </c>
      <c r="C27">
        <v>710</v>
      </c>
      <c r="D27">
        <v>-1</v>
      </c>
      <c r="E27" t="b">
        <v>1</v>
      </c>
      <c r="F27">
        <v>0</v>
      </c>
      <c r="G27">
        <f>IF(tblResults[[#This Row],[Left System]]=0,2881-tblResults[[#This Row],[Entered System]],tblResults[[#This Row],[Left System]]-tblResults[[#This Row],[Entered System]]+1)</f>
        <v>94</v>
      </c>
      <c r="H27" s="10">
        <f>tblResults[[#This Row],[Idle Time]]/tblResults[[#This Row],[Time in System]]</f>
        <v>0</v>
      </c>
      <c r="K27">
        <v>58</v>
      </c>
      <c r="L27">
        <v>4</v>
      </c>
      <c r="M27">
        <v>8</v>
      </c>
    </row>
    <row r="28" spans="1:13" x14ac:dyDescent="0.25">
      <c r="A28">
        <v>27</v>
      </c>
      <c r="B28">
        <v>645</v>
      </c>
      <c r="C28">
        <v>726</v>
      </c>
      <c r="D28">
        <v>-1</v>
      </c>
      <c r="E28" t="b">
        <v>1</v>
      </c>
      <c r="F28">
        <v>0</v>
      </c>
      <c r="G28">
        <f>IF(tblResults[[#This Row],[Left System]]=0,2881-tblResults[[#This Row],[Entered System]],tblResults[[#This Row],[Left System]]-tblResults[[#This Row],[Entered System]]+1)</f>
        <v>82</v>
      </c>
      <c r="H28" s="10">
        <f>tblResults[[#This Row],[Idle Time]]/tblResults[[#This Row],[Time in System]]</f>
        <v>0</v>
      </c>
      <c r="K28">
        <v>60</v>
      </c>
      <c r="L28">
        <v>6</v>
      </c>
      <c r="M28">
        <v>2</v>
      </c>
    </row>
    <row r="29" spans="1:13" x14ac:dyDescent="0.25">
      <c r="A29">
        <v>28</v>
      </c>
      <c r="B29">
        <v>673</v>
      </c>
      <c r="C29">
        <v>742</v>
      </c>
      <c r="D29">
        <v>-1</v>
      </c>
      <c r="E29" t="b">
        <v>1</v>
      </c>
      <c r="F29">
        <v>0</v>
      </c>
      <c r="G29">
        <f>IF(tblResults[[#This Row],[Left System]]=0,2881-tblResults[[#This Row],[Entered System]],tblResults[[#This Row],[Left System]]-tblResults[[#This Row],[Entered System]]+1)</f>
        <v>70</v>
      </c>
      <c r="H29" s="10">
        <f>tblResults[[#This Row],[Idle Time]]/tblResults[[#This Row],[Time in System]]</f>
        <v>0</v>
      </c>
      <c r="K29">
        <v>63</v>
      </c>
      <c r="L29">
        <v>6</v>
      </c>
      <c r="M29">
        <v>2</v>
      </c>
    </row>
    <row r="30" spans="1:13" x14ac:dyDescent="0.25">
      <c r="A30">
        <v>29</v>
      </c>
      <c r="B30">
        <v>698</v>
      </c>
      <c r="C30">
        <v>769</v>
      </c>
      <c r="D30">
        <v>-1</v>
      </c>
      <c r="E30" t="b">
        <v>1</v>
      </c>
      <c r="F30">
        <v>0</v>
      </c>
      <c r="G30">
        <f>IF(tblResults[[#This Row],[Left System]]=0,2881-tblResults[[#This Row],[Entered System]],tblResults[[#This Row],[Left System]]-tblResults[[#This Row],[Entered System]]+1)</f>
        <v>72</v>
      </c>
      <c r="H30" s="10">
        <f>tblResults[[#This Row],[Idle Time]]/tblResults[[#This Row],[Time in System]]</f>
        <v>0</v>
      </c>
      <c r="K30">
        <v>68</v>
      </c>
      <c r="L30">
        <v>6</v>
      </c>
      <c r="M30">
        <v>1</v>
      </c>
    </row>
    <row r="31" spans="1:13" x14ac:dyDescent="0.25">
      <c r="A31">
        <v>30</v>
      </c>
      <c r="B31">
        <v>722</v>
      </c>
      <c r="C31">
        <v>802</v>
      </c>
      <c r="D31">
        <v>-1</v>
      </c>
      <c r="E31" t="b">
        <v>1</v>
      </c>
      <c r="F31">
        <v>0</v>
      </c>
      <c r="G31">
        <f>IF(tblResults[[#This Row],[Left System]]=0,2881-tblResults[[#This Row],[Entered System]],tblResults[[#This Row],[Left System]]-tblResults[[#This Row],[Entered System]]+1)</f>
        <v>81</v>
      </c>
      <c r="H31" s="10">
        <f>tblResults[[#This Row],[Idle Time]]/tblResults[[#This Row],[Time in System]]</f>
        <v>0</v>
      </c>
      <c r="K31">
        <v>73</v>
      </c>
      <c r="L31">
        <v>2</v>
      </c>
      <c r="M31">
        <v>3</v>
      </c>
    </row>
    <row r="32" spans="1:13" x14ac:dyDescent="0.25">
      <c r="A32">
        <v>31</v>
      </c>
      <c r="B32">
        <v>748</v>
      </c>
      <c r="C32">
        <v>820</v>
      </c>
      <c r="D32">
        <v>-1</v>
      </c>
      <c r="E32" t="b">
        <v>1</v>
      </c>
      <c r="F32">
        <v>0</v>
      </c>
      <c r="G32">
        <f>IF(tblResults[[#This Row],[Left System]]=0,2881-tblResults[[#This Row],[Entered System]],tblResults[[#This Row],[Left System]]-tblResults[[#This Row],[Entered System]]+1)</f>
        <v>73</v>
      </c>
      <c r="H32" s="10">
        <f>tblResults[[#This Row],[Idle Time]]/tblResults[[#This Row],[Time in System]]</f>
        <v>0</v>
      </c>
      <c r="K32">
        <v>73</v>
      </c>
      <c r="L32">
        <v>4</v>
      </c>
      <c r="M32">
        <v>7</v>
      </c>
    </row>
    <row r="33" spans="1:13" x14ac:dyDescent="0.25">
      <c r="A33">
        <v>32</v>
      </c>
      <c r="B33">
        <v>767</v>
      </c>
      <c r="C33">
        <v>843</v>
      </c>
      <c r="D33">
        <v>-1</v>
      </c>
      <c r="E33" t="b">
        <v>1</v>
      </c>
      <c r="F33">
        <v>0</v>
      </c>
      <c r="G33">
        <f>IF(tblResults[[#This Row],[Left System]]=0,2881-tblResults[[#This Row],[Entered System]],tblResults[[#This Row],[Left System]]-tblResults[[#This Row],[Entered System]]+1)</f>
        <v>77</v>
      </c>
      <c r="H33" s="10">
        <f>tblResults[[#This Row],[Idle Time]]/tblResults[[#This Row],[Time in System]]</f>
        <v>0</v>
      </c>
      <c r="K33">
        <v>85</v>
      </c>
      <c r="L33">
        <v>3</v>
      </c>
      <c r="M33">
        <v>3</v>
      </c>
    </row>
    <row r="34" spans="1:13" x14ac:dyDescent="0.25">
      <c r="A34">
        <v>33</v>
      </c>
      <c r="B34">
        <v>794</v>
      </c>
      <c r="C34">
        <v>875</v>
      </c>
      <c r="D34">
        <v>-1</v>
      </c>
      <c r="E34" t="b">
        <v>1</v>
      </c>
      <c r="F34">
        <v>0</v>
      </c>
      <c r="G34">
        <f>IF(tblResults[[#This Row],[Left System]]=0,2881-tblResults[[#This Row],[Entered System]],tblResults[[#This Row],[Left System]]-tblResults[[#This Row],[Entered System]]+1)</f>
        <v>82</v>
      </c>
      <c r="H34" s="10">
        <f>tblResults[[#This Row],[Idle Time]]/tblResults[[#This Row],[Time in System]]</f>
        <v>0</v>
      </c>
      <c r="K34">
        <v>93</v>
      </c>
      <c r="L34">
        <v>1</v>
      </c>
      <c r="M34">
        <v>11</v>
      </c>
    </row>
    <row r="35" spans="1:13" x14ac:dyDescent="0.25">
      <c r="A35">
        <v>34</v>
      </c>
      <c r="B35">
        <v>815</v>
      </c>
      <c r="C35">
        <v>874</v>
      </c>
      <c r="D35">
        <v>-1</v>
      </c>
      <c r="E35" t="b">
        <v>1</v>
      </c>
      <c r="F35">
        <v>0</v>
      </c>
      <c r="G35">
        <f>IF(tblResults[[#This Row],[Left System]]=0,2881-tblResults[[#This Row],[Entered System]],tblResults[[#This Row],[Left System]]-tblResults[[#This Row],[Entered System]]+1)</f>
        <v>60</v>
      </c>
      <c r="H35" s="10">
        <f>tblResults[[#This Row],[Idle Time]]/tblResults[[#This Row],[Time in System]]</f>
        <v>0</v>
      </c>
      <c r="K35">
        <v>92</v>
      </c>
      <c r="L35">
        <v>3</v>
      </c>
      <c r="M35">
        <v>4</v>
      </c>
    </row>
    <row r="36" spans="1:13" x14ac:dyDescent="0.25">
      <c r="A36">
        <v>35</v>
      </c>
      <c r="B36">
        <v>840</v>
      </c>
      <c r="C36">
        <v>918</v>
      </c>
      <c r="D36">
        <v>-1</v>
      </c>
      <c r="E36" t="b">
        <v>1</v>
      </c>
      <c r="F36">
        <v>0</v>
      </c>
      <c r="G36">
        <f>IF(tblResults[[#This Row],[Left System]]=0,2881-tblResults[[#This Row],[Entered System]],tblResults[[#This Row],[Left System]]-tblResults[[#This Row],[Entered System]]+1)</f>
        <v>79</v>
      </c>
      <c r="H36" s="10">
        <f>tblResults[[#This Row],[Idle Time]]/tblResults[[#This Row],[Time in System]]</f>
        <v>0</v>
      </c>
      <c r="K36">
        <v>95</v>
      </c>
      <c r="L36">
        <v>6</v>
      </c>
      <c r="M36">
        <v>3</v>
      </c>
    </row>
    <row r="37" spans="1:13" x14ac:dyDescent="0.25">
      <c r="A37">
        <v>36</v>
      </c>
      <c r="B37">
        <v>864</v>
      </c>
      <c r="C37">
        <v>933</v>
      </c>
      <c r="D37">
        <v>-1</v>
      </c>
      <c r="E37" t="b">
        <v>1</v>
      </c>
      <c r="F37">
        <v>0</v>
      </c>
      <c r="G37">
        <f>IF(tblResults[[#This Row],[Left System]]=0,2881-tblResults[[#This Row],[Entered System]],tblResults[[#This Row],[Left System]]-tblResults[[#This Row],[Entered System]]+1)</f>
        <v>70</v>
      </c>
      <c r="H37" s="10">
        <f>tblResults[[#This Row],[Idle Time]]/tblResults[[#This Row],[Time in System]]</f>
        <v>0</v>
      </c>
      <c r="K37">
        <v>98</v>
      </c>
      <c r="L37">
        <v>4</v>
      </c>
      <c r="M37">
        <v>9</v>
      </c>
    </row>
    <row r="38" spans="1:13" x14ac:dyDescent="0.25">
      <c r="A38">
        <v>37</v>
      </c>
      <c r="B38">
        <v>887</v>
      </c>
      <c r="C38">
        <v>974</v>
      </c>
      <c r="D38">
        <v>-1</v>
      </c>
      <c r="E38" t="b">
        <v>1</v>
      </c>
      <c r="F38">
        <v>0</v>
      </c>
      <c r="G38">
        <f>IF(tblResults[[#This Row],[Left System]]=0,2881-tblResults[[#This Row],[Entered System]],tblResults[[#This Row],[Left System]]-tblResults[[#This Row],[Entered System]]+1)</f>
        <v>88</v>
      </c>
      <c r="H38" s="10">
        <f>tblResults[[#This Row],[Idle Time]]/tblResults[[#This Row],[Time in System]]</f>
        <v>0</v>
      </c>
      <c r="K38">
        <v>105</v>
      </c>
      <c r="L38">
        <v>2</v>
      </c>
      <c r="M38">
        <v>5</v>
      </c>
    </row>
    <row r="39" spans="1:13" x14ac:dyDescent="0.25">
      <c r="A39">
        <v>38</v>
      </c>
      <c r="B39">
        <v>913</v>
      </c>
      <c r="C39">
        <v>1016</v>
      </c>
      <c r="D39">
        <v>-1</v>
      </c>
      <c r="E39" t="b">
        <v>1</v>
      </c>
      <c r="F39">
        <v>0</v>
      </c>
      <c r="G39">
        <f>IF(tblResults[[#This Row],[Left System]]=0,2881-tblResults[[#This Row],[Entered System]],tblResults[[#This Row],[Left System]]-tblResults[[#This Row],[Entered System]]+1)</f>
        <v>104</v>
      </c>
      <c r="H39" s="10">
        <f>tblResults[[#This Row],[Idle Time]]/tblResults[[#This Row],[Time in System]]</f>
        <v>0</v>
      </c>
      <c r="K39">
        <v>114</v>
      </c>
      <c r="L39">
        <v>1</v>
      </c>
      <c r="M39">
        <v>11</v>
      </c>
    </row>
    <row r="40" spans="1:13" x14ac:dyDescent="0.25">
      <c r="A40">
        <v>39</v>
      </c>
      <c r="B40">
        <v>934</v>
      </c>
      <c r="C40">
        <v>1026</v>
      </c>
      <c r="D40">
        <v>-1</v>
      </c>
      <c r="E40" t="b">
        <v>1</v>
      </c>
      <c r="F40">
        <v>12</v>
      </c>
      <c r="G40">
        <f>IF(tblResults[[#This Row],[Left System]]=0,2881-tblResults[[#This Row],[Entered System]],tblResults[[#This Row],[Left System]]-tblResults[[#This Row],[Entered System]]+1)</f>
        <v>93</v>
      </c>
      <c r="H40" s="10">
        <f>tblResults[[#This Row],[Idle Time]]/tblResults[[#This Row],[Time in System]]</f>
        <v>0.12903225806451613</v>
      </c>
    </row>
    <row r="41" spans="1:13" x14ac:dyDescent="0.25">
      <c r="A41">
        <v>40</v>
      </c>
      <c r="B41">
        <v>965</v>
      </c>
      <c r="C41">
        <v>1053</v>
      </c>
      <c r="D41">
        <v>-1</v>
      </c>
      <c r="E41" t="b">
        <v>1</v>
      </c>
      <c r="F41">
        <v>0</v>
      </c>
      <c r="G41">
        <f>IF(tblResults[[#This Row],[Left System]]=0,2881-tblResults[[#This Row],[Entered System]],tblResults[[#This Row],[Left System]]-tblResults[[#This Row],[Entered System]]+1)</f>
        <v>89</v>
      </c>
      <c r="H41" s="10">
        <f>tblResults[[#This Row],[Idle Time]]/tblResults[[#This Row],[Time in System]]</f>
        <v>0</v>
      </c>
    </row>
    <row r="42" spans="1:13" x14ac:dyDescent="0.25">
      <c r="A42">
        <v>41</v>
      </c>
      <c r="B42">
        <v>992</v>
      </c>
      <c r="C42">
        <v>1081</v>
      </c>
      <c r="D42">
        <v>-1</v>
      </c>
      <c r="E42" t="b">
        <v>1</v>
      </c>
      <c r="F42">
        <v>0</v>
      </c>
      <c r="G42">
        <f>IF(tblResults[[#This Row],[Left System]]=0,2881-tblResults[[#This Row],[Entered System]],tblResults[[#This Row],[Left System]]-tblResults[[#This Row],[Entered System]]+1)</f>
        <v>90</v>
      </c>
      <c r="H42" s="10">
        <f>tblResults[[#This Row],[Idle Time]]/tblResults[[#This Row],[Time in System]]</f>
        <v>0</v>
      </c>
    </row>
    <row r="43" spans="1:13" x14ac:dyDescent="0.25">
      <c r="A43">
        <v>42</v>
      </c>
      <c r="B43">
        <v>1020</v>
      </c>
      <c r="C43">
        <v>1108</v>
      </c>
      <c r="D43">
        <v>-1</v>
      </c>
      <c r="E43" t="b">
        <v>1</v>
      </c>
      <c r="F43">
        <v>2</v>
      </c>
      <c r="G43">
        <f>IF(tblResults[[#This Row],[Left System]]=0,2881-tblResults[[#This Row],[Entered System]],tblResults[[#This Row],[Left System]]-tblResults[[#This Row],[Entered System]]+1)</f>
        <v>89</v>
      </c>
      <c r="H43" s="10">
        <f>tblResults[[#This Row],[Idle Time]]/tblResults[[#This Row],[Time in System]]</f>
        <v>2.247191011235955E-2</v>
      </c>
    </row>
    <row r="44" spans="1:13" x14ac:dyDescent="0.25">
      <c r="A44">
        <v>43</v>
      </c>
      <c r="B44">
        <v>1059</v>
      </c>
      <c r="C44">
        <v>1138</v>
      </c>
      <c r="D44">
        <v>-1</v>
      </c>
      <c r="E44" t="b">
        <v>1</v>
      </c>
      <c r="F44">
        <v>0</v>
      </c>
      <c r="G44">
        <f>IF(tblResults[[#This Row],[Left System]]=0,2881-tblResults[[#This Row],[Entered System]],tblResults[[#This Row],[Left System]]-tblResults[[#This Row],[Entered System]]+1)</f>
        <v>80</v>
      </c>
      <c r="H44" s="10">
        <f>tblResults[[#This Row],[Idle Time]]/tblResults[[#This Row],[Time in System]]</f>
        <v>0</v>
      </c>
    </row>
    <row r="45" spans="1:13" x14ac:dyDescent="0.25">
      <c r="A45">
        <v>44</v>
      </c>
      <c r="B45">
        <v>1082</v>
      </c>
      <c r="C45">
        <v>1174</v>
      </c>
      <c r="D45">
        <v>-1</v>
      </c>
      <c r="E45" t="b">
        <v>1</v>
      </c>
      <c r="F45">
        <v>0</v>
      </c>
      <c r="G45">
        <f>IF(tblResults[[#This Row],[Left System]]=0,2881-tblResults[[#This Row],[Entered System]],tblResults[[#This Row],[Left System]]-tblResults[[#This Row],[Entered System]]+1)</f>
        <v>93</v>
      </c>
      <c r="H45" s="10">
        <f>tblResults[[#This Row],[Idle Time]]/tblResults[[#This Row],[Time in System]]</f>
        <v>0</v>
      </c>
    </row>
    <row r="46" spans="1:13" x14ac:dyDescent="0.25">
      <c r="A46">
        <v>45</v>
      </c>
      <c r="B46">
        <v>1099</v>
      </c>
      <c r="C46">
        <v>1193</v>
      </c>
      <c r="D46">
        <v>-1</v>
      </c>
      <c r="E46" t="b">
        <v>1</v>
      </c>
      <c r="F46">
        <v>0</v>
      </c>
      <c r="G46">
        <f>IF(tblResults[[#This Row],[Left System]]=0,2881-tblResults[[#This Row],[Entered System]],tblResults[[#This Row],[Left System]]-tblResults[[#This Row],[Entered System]]+1)</f>
        <v>95</v>
      </c>
      <c r="H46" s="10">
        <f>tblResults[[#This Row],[Idle Time]]/tblResults[[#This Row],[Time in System]]</f>
        <v>0</v>
      </c>
    </row>
    <row r="47" spans="1:13" x14ac:dyDescent="0.25">
      <c r="A47">
        <v>46</v>
      </c>
      <c r="B47">
        <v>1117</v>
      </c>
      <c r="C47">
        <v>1201</v>
      </c>
      <c r="D47">
        <v>-1</v>
      </c>
      <c r="E47" t="b">
        <v>1</v>
      </c>
      <c r="F47">
        <v>1</v>
      </c>
      <c r="G47">
        <f>IF(tblResults[[#This Row],[Left System]]=0,2881-tblResults[[#This Row],[Entered System]],tblResults[[#This Row],[Left System]]-tblResults[[#This Row],[Entered System]]+1)</f>
        <v>85</v>
      </c>
      <c r="H47" s="10">
        <f>tblResults[[#This Row],[Idle Time]]/tblResults[[#This Row],[Time in System]]</f>
        <v>1.1764705882352941E-2</v>
      </c>
    </row>
    <row r="48" spans="1:13" x14ac:dyDescent="0.25">
      <c r="A48">
        <v>47</v>
      </c>
      <c r="B48">
        <v>1149</v>
      </c>
      <c r="C48">
        <v>1228</v>
      </c>
      <c r="D48">
        <v>-1</v>
      </c>
      <c r="E48" t="b">
        <v>1</v>
      </c>
      <c r="F48">
        <v>0</v>
      </c>
      <c r="G48">
        <f>IF(tblResults[[#This Row],[Left System]]=0,2881-tblResults[[#This Row],[Entered System]],tblResults[[#This Row],[Left System]]-tblResults[[#This Row],[Entered System]]+1)</f>
        <v>80</v>
      </c>
      <c r="H48" s="10">
        <f>tblResults[[#This Row],[Idle Time]]/tblResults[[#This Row],[Time in System]]</f>
        <v>0</v>
      </c>
    </row>
    <row r="49" spans="1:8" x14ac:dyDescent="0.25">
      <c r="A49">
        <v>48</v>
      </c>
      <c r="B49">
        <v>1175</v>
      </c>
      <c r="C49">
        <v>1253</v>
      </c>
      <c r="D49">
        <v>-1</v>
      </c>
      <c r="E49" t="b">
        <v>1</v>
      </c>
      <c r="F49">
        <v>0</v>
      </c>
      <c r="G49">
        <f>IF(tblResults[[#This Row],[Left System]]=0,2881-tblResults[[#This Row],[Entered System]],tblResults[[#This Row],[Left System]]-tblResults[[#This Row],[Entered System]]+1)</f>
        <v>79</v>
      </c>
      <c r="H49" s="10">
        <f>tblResults[[#This Row],[Idle Time]]/tblResults[[#This Row],[Time in System]]</f>
        <v>0</v>
      </c>
    </row>
    <row r="50" spans="1:8" x14ac:dyDescent="0.25">
      <c r="A50">
        <v>49</v>
      </c>
      <c r="B50">
        <v>1202</v>
      </c>
      <c r="C50">
        <v>1267</v>
      </c>
      <c r="D50">
        <v>-1</v>
      </c>
      <c r="E50" t="b">
        <v>1</v>
      </c>
      <c r="F50">
        <v>0</v>
      </c>
      <c r="G50">
        <f>IF(tblResults[[#This Row],[Left System]]=0,2881-tblResults[[#This Row],[Entered System]],tblResults[[#This Row],[Left System]]-tblResults[[#This Row],[Entered System]]+1)</f>
        <v>66</v>
      </c>
      <c r="H50" s="10">
        <f>tblResults[[#This Row],[Idle Time]]/tblResults[[#This Row],[Time in System]]</f>
        <v>0</v>
      </c>
    </row>
    <row r="51" spans="1:8" x14ac:dyDescent="0.25">
      <c r="A51">
        <v>50</v>
      </c>
      <c r="B51">
        <v>1231</v>
      </c>
      <c r="C51">
        <v>1333</v>
      </c>
      <c r="D51">
        <v>-1</v>
      </c>
      <c r="E51" t="b">
        <v>1</v>
      </c>
      <c r="F51">
        <v>0</v>
      </c>
      <c r="G51">
        <f>IF(tblResults[[#This Row],[Left System]]=0,2881-tblResults[[#This Row],[Entered System]],tblResults[[#This Row],[Left System]]-tblResults[[#This Row],[Entered System]]+1)</f>
        <v>103</v>
      </c>
      <c r="H51" s="10">
        <f>tblResults[[#This Row],[Idle Time]]/tblResults[[#This Row],[Time in System]]</f>
        <v>0</v>
      </c>
    </row>
    <row r="52" spans="1:8" x14ac:dyDescent="0.25">
      <c r="A52">
        <v>51</v>
      </c>
      <c r="B52">
        <v>1255</v>
      </c>
      <c r="C52">
        <v>1362</v>
      </c>
      <c r="D52">
        <v>-1</v>
      </c>
      <c r="E52" t="b">
        <v>1</v>
      </c>
      <c r="F52">
        <v>7</v>
      </c>
      <c r="G52">
        <f>IF(tblResults[[#This Row],[Left System]]=0,2881-tblResults[[#This Row],[Entered System]],tblResults[[#This Row],[Left System]]-tblResults[[#This Row],[Entered System]]+1)</f>
        <v>108</v>
      </c>
      <c r="H52" s="10">
        <f>tblResults[[#This Row],[Idle Time]]/tblResults[[#This Row],[Time in System]]</f>
        <v>6.4814814814814811E-2</v>
      </c>
    </row>
    <row r="53" spans="1:8" x14ac:dyDescent="0.25">
      <c r="A53">
        <v>52</v>
      </c>
      <c r="B53">
        <v>1272</v>
      </c>
      <c r="C53">
        <v>1343</v>
      </c>
      <c r="D53">
        <v>-1</v>
      </c>
      <c r="E53" t="b">
        <v>1</v>
      </c>
      <c r="F53">
        <v>5</v>
      </c>
      <c r="G53">
        <f>IF(tblResults[[#This Row],[Left System]]=0,2881-tblResults[[#This Row],[Entered System]],tblResults[[#This Row],[Left System]]-tblResults[[#This Row],[Entered System]]+1)</f>
        <v>72</v>
      </c>
      <c r="H53" s="10">
        <f>tblResults[[#This Row],[Idle Time]]/tblResults[[#This Row],[Time in System]]</f>
        <v>6.9444444444444448E-2</v>
      </c>
    </row>
    <row r="54" spans="1:8" x14ac:dyDescent="0.25">
      <c r="A54">
        <v>53</v>
      </c>
      <c r="B54">
        <v>1294</v>
      </c>
      <c r="C54">
        <v>1365</v>
      </c>
      <c r="D54">
        <v>-1</v>
      </c>
      <c r="E54" t="b">
        <v>1</v>
      </c>
      <c r="F54">
        <v>0</v>
      </c>
      <c r="G54">
        <f>IF(tblResults[[#This Row],[Left System]]=0,2881-tblResults[[#This Row],[Entered System]],tblResults[[#This Row],[Left System]]-tblResults[[#This Row],[Entered System]]+1)</f>
        <v>72</v>
      </c>
      <c r="H54" s="10">
        <f>tblResults[[#This Row],[Idle Time]]/tblResults[[#This Row],[Time in System]]</f>
        <v>0</v>
      </c>
    </row>
    <row r="55" spans="1:8" x14ac:dyDescent="0.25">
      <c r="A55">
        <v>54</v>
      </c>
      <c r="B55">
        <v>1317</v>
      </c>
      <c r="C55">
        <v>1405</v>
      </c>
      <c r="D55">
        <v>-1</v>
      </c>
      <c r="E55" t="b">
        <v>1</v>
      </c>
      <c r="F55">
        <v>0</v>
      </c>
      <c r="G55">
        <f>IF(tblResults[[#This Row],[Left System]]=0,2881-tblResults[[#This Row],[Entered System]],tblResults[[#This Row],[Left System]]-tblResults[[#This Row],[Entered System]]+1)</f>
        <v>89</v>
      </c>
      <c r="H55" s="10">
        <f>tblResults[[#This Row],[Idle Time]]/tblResults[[#This Row],[Time in System]]</f>
        <v>0</v>
      </c>
    </row>
    <row r="56" spans="1:8" x14ac:dyDescent="0.25">
      <c r="A56">
        <v>55</v>
      </c>
      <c r="B56">
        <v>1344</v>
      </c>
      <c r="C56">
        <v>1438</v>
      </c>
      <c r="D56">
        <v>-1</v>
      </c>
      <c r="E56" t="b">
        <v>1</v>
      </c>
      <c r="F56">
        <v>0</v>
      </c>
      <c r="G56">
        <f>IF(tblResults[[#This Row],[Left System]]=0,2881-tblResults[[#This Row],[Entered System]],tblResults[[#This Row],[Left System]]-tblResults[[#This Row],[Entered System]]+1)</f>
        <v>95</v>
      </c>
      <c r="H56" s="10">
        <f>tblResults[[#This Row],[Idle Time]]/tblResults[[#This Row],[Time in System]]</f>
        <v>0</v>
      </c>
    </row>
    <row r="57" spans="1:8" x14ac:dyDescent="0.25">
      <c r="A57">
        <v>56</v>
      </c>
      <c r="B57">
        <v>1373</v>
      </c>
      <c r="C57">
        <v>1453</v>
      </c>
      <c r="D57">
        <v>-1</v>
      </c>
      <c r="E57" t="b">
        <v>1</v>
      </c>
      <c r="F57">
        <v>0</v>
      </c>
      <c r="G57">
        <f>IF(tblResults[[#This Row],[Left System]]=0,2881-tblResults[[#This Row],[Entered System]],tblResults[[#This Row],[Left System]]-tblResults[[#This Row],[Entered System]]+1)</f>
        <v>81</v>
      </c>
      <c r="H57" s="10">
        <f>tblResults[[#This Row],[Idle Time]]/tblResults[[#This Row],[Time in System]]</f>
        <v>0</v>
      </c>
    </row>
    <row r="58" spans="1:8" x14ac:dyDescent="0.25">
      <c r="A58">
        <v>57</v>
      </c>
      <c r="B58">
        <v>1400</v>
      </c>
      <c r="C58">
        <v>1506</v>
      </c>
      <c r="D58">
        <v>-1</v>
      </c>
      <c r="E58" t="b">
        <v>1</v>
      </c>
      <c r="F58">
        <v>0</v>
      </c>
      <c r="G58">
        <f>IF(tblResults[[#This Row],[Left System]]=0,2881-tblResults[[#This Row],[Entered System]],tblResults[[#This Row],[Left System]]-tblResults[[#This Row],[Entered System]]+1)</f>
        <v>107</v>
      </c>
      <c r="H58" s="10">
        <f>tblResults[[#This Row],[Idle Time]]/tblResults[[#This Row],[Time in System]]</f>
        <v>0</v>
      </c>
    </row>
    <row r="59" spans="1:8" x14ac:dyDescent="0.25">
      <c r="A59">
        <v>58</v>
      </c>
      <c r="B59">
        <v>1433</v>
      </c>
      <c r="C59">
        <v>1534</v>
      </c>
      <c r="D59">
        <v>-1</v>
      </c>
      <c r="E59" t="b">
        <v>1</v>
      </c>
      <c r="F59">
        <v>0</v>
      </c>
      <c r="G59">
        <f>IF(tblResults[[#This Row],[Left System]]=0,2881-tblResults[[#This Row],[Entered System]],tblResults[[#This Row],[Left System]]-tblResults[[#This Row],[Entered System]]+1)</f>
        <v>102</v>
      </c>
      <c r="H59" s="10">
        <f>tblResults[[#This Row],[Idle Time]]/tblResults[[#This Row],[Time in System]]</f>
        <v>0</v>
      </c>
    </row>
    <row r="60" spans="1:8" x14ac:dyDescent="0.25">
      <c r="A60">
        <v>59</v>
      </c>
      <c r="B60">
        <v>1449</v>
      </c>
      <c r="C60">
        <v>1538</v>
      </c>
      <c r="D60">
        <v>-1</v>
      </c>
      <c r="E60" t="b">
        <v>1</v>
      </c>
      <c r="F60">
        <v>4</v>
      </c>
      <c r="G60">
        <f>IF(tblResults[[#This Row],[Left System]]=0,2881-tblResults[[#This Row],[Entered System]],tblResults[[#This Row],[Left System]]-tblResults[[#This Row],[Entered System]]+1)</f>
        <v>90</v>
      </c>
      <c r="H60" s="10">
        <f>tblResults[[#This Row],[Idle Time]]/tblResults[[#This Row],[Time in System]]</f>
        <v>4.4444444444444446E-2</v>
      </c>
    </row>
    <row r="61" spans="1:8" x14ac:dyDescent="0.25">
      <c r="A61">
        <v>60</v>
      </c>
      <c r="B61">
        <v>1472</v>
      </c>
      <c r="C61">
        <v>1562</v>
      </c>
      <c r="D61">
        <v>-1</v>
      </c>
      <c r="E61" t="b">
        <v>1</v>
      </c>
      <c r="F61">
        <v>0</v>
      </c>
      <c r="G61">
        <f>IF(tblResults[[#This Row],[Left System]]=0,2881-tblResults[[#This Row],[Entered System]],tblResults[[#This Row],[Left System]]-tblResults[[#This Row],[Entered System]]+1)</f>
        <v>91</v>
      </c>
      <c r="H61" s="10">
        <f>tblResults[[#This Row],[Idle Time]]/tblResults[[#This Row],[Time in System]]</f>
        <v>0</v>
      </c>
    </row>
    <row r="62" spans="1:8" x14ac:dyDescent="0.25">
      <c r="A62">
        <v>61</v>
      </c>
      <c r="B62">
        <v>1504</v>
      </c>
      <c r="C62">
        <v>1569</v>
      </c>
      <c r="D62">
        <v>-1</v>
      </c>
      <c r="E62" t="b">
        <v>1</v>
      </c>
      <c r="F62">
        <v>0</v>
      </c>
      <c r="G62">
        <f>IF(tblResults[[#This Row],[Left System]]=0,2881-tblResults[[#This Row],[Entered System]],tblResults[[#This Row],[Left System]]-tblResults[[#This Row],[Entered System]]+1)</f>
        <v>66</v>
      </c>
      <c r="H62" s="10">
        <f>tblResults[[#This Row],[Idle Time]]/tblResults[[#This Row],[Time in System]]</f>
        <v>0</v>
      </c>
    </row>
    <row r="63" spans="1:8" x14ac:dyDescent="0.25">
      <c r="A63">
        <v>62</v>
      </c>
      <c r="B63">
        <v>1541</v>
      </c>
      <c r="C63">
        <v>1629</v>
      </c>
      <c r="D63">
        <v>-1</v>
      </c>
      <c r="E63" t="b">
        <v>1</v>
      </c>
      <c r="F63">
        <v>0</v>
      </c>
      <c r="G63">
        <f>IF(tblResults[[#This Row],[Left System]]=0,2881-tblResults[[#This Row],[Entered System]],tblResults[[#This Row],[Left System]]-tblResults[[#This Row],[Entered System]]+1)</f>
        <v>89</v>
      </c>
      <c r="H63" s="10">
        <f>tblResults[[#This Row],[Idle Time]]/tblResults[[#This Row],[Time in System]]</f>
        <v>0</v>
      </c>
    </row>
    <row r="64" spans="1:8" x14ac:dyDescent="0.25">
      <c r="A64">
        <v>63</v>
      </c>
      <c r="B64">
        <v>1559</v>
      </c>
      <c r="C64">
        <v>1647</v>
      </c>
      <c r="D64">
        <v>-1</v>
      </c>
      <c r="E64" t="b">
        <v>1</v>
      </c>
      <c r="F64">
        <v>0</v>
      </c>
      <c r="G64">
        <f>IF(tblResults[[#This Row],[Left System]]=0,2881-tblResults[[#This Row],[Entered System]],tblResults[[#This Row],[Left System]]-tblResults[[#This Row],[Entered System]]+1)</f>
        <v>89</v>
      </c>
      <c r="H64" s="10">
        <f>tblResults[[#This Row],[Idle Time]]/tblResults[[#This Row],[Time in System]]</f>
        <v>0</v>
      </c>
    </row>
    <row r="65" spans="1:8" x14ac:dyDescent="0.25">
      <c r="A65">
        <v>64</v>
      </c>
      <c r="B65">
        <v>1583</v>
      </c>
      <c r="C65">
        <v>1660</v>
      </c>
      <c r="D65">
        <v>-1</v>
      </c>
      <c r="E65" t="b">
        <v>1</v>
      </c>
      <c r="F65">
        <v>0</v>
      </c>
      <c r="G65">
        <f>IF(tblResults[[#This Row],[Left System]]=0,2881-tblResults[[#This Row],[Entered System]],tblResults[[#This Row],[Left System]]-tblResults[[#This Row],[Entered System]]+1)</f>
        <v>78</v>
      </c>
      <c r="H65" s="10">
        <f>tblResults[[#This Row],[Idle Time]]/tblResults[[#This Row],[Time in System]]</f>
        <v>0</v>
      </c>
    </row>
    <row r="66" spans="1:8" x14ac:dyDescent="0.25">
      <c r="A66">
        <v>65</v>
      </c>
      <c r="B66">
        <v>1608</v>
      </c>
      <c r="C66">
        <v>1688</v>
      </c>
      <c r="D66">
        <v>-1</v>
      </c>
      <c r="E66" t="b">
        <v>1</v>
      </c>
      <c r="F66">
        <v>0</v>
      </c>
      <c r="G66">
        <f>IF(tblResults[[#This Row],[Left System]]=0,2881-tblResults[[#This Row],[Entered System]],tblResults[[#This Row],[Left System]]-tblResults[[#This Row],[Entered System]]+1)</f>
        <v>81</v>
      </c>
      <c r="H66" s="10">
        <f>tblResults[[#This Row],[Idle Time]]/tblResults[[#This Row],[Time in System]]</f>
        <v>0</v>
      </c>
    </row>
    <row r="67" spans="1:8" x14ac:dyDescent="0.25">
      <c r="A67">
        <v>66</v>
      </c>
      <c r="B67">
        <v>1630</v>
      </c>
      <c r="C67">
        <v>1710</v>
      </c>
      <c r="D67">
        <v>-1</v>
      </c>
      <c r="E67" t="b">
        <v>1</v>
      </c>
      <c r="F67">
        <v>0</v>
      </c>
      <c r="G67">
        <f>IF(tblResults[[#This Row],[Left System]]=0,2881-tblResults[[#This Row],[Entered System]],tblResults[[#This Row],[Left System]]-tblResults[[#This Row],[Entered System]]+1)</f>
        <v>81</v>
      </c>
      <c r="H67" s="10">
        <f>tblResults[[#This Row],[Idle Time]]/tblResults[[#This Row],[Time in System]]</f>
        <v>0</v>
      </c>
    </row>
    <row r="68" spans="1:8" x14ac:dyDescent="0.25">
      <c r="A68">
        <v>67</v>
      </c>
      <c r="B68">
        <v>1662</v>
      </c>
      <c r="C68">
        <v>1734</v>
      </c>
      <c r="D68">
        <v>-1</v>
      </c>
      <c r="E68" t="b">
        <v>1</v>
      </c>
      <c r="F68">
        <v>0</v>
      </c>
      <c r="G68">
        <f>IF(tblResults[[#This Row],[Left System]]=0,2881-tblResults[[#This Row],[Entered System]],tblResults[[#This Row],[Left System]]-tblResults[[#This Row],[Entered System]]+1)</f>
        <v>73</v>
      </c>
      <c r="H68" s="10">
        <f>tblResults[[#This Row],[Idle Time]]/tblResults[[#This Row],[Time in System]]</f>
        <v>0</v>
      </c>
    </row>
    <row r="69" spans="1:8" x14ac:dyDescent="0.25">
      <c r="A69">
        <v>68</v>
      </c>
      <c r="B69">
        <v>1688</v>
      </c>
      <c r="C69">
        <v>1759</v>
      </c>
      <c r="D69">
        <v>-1</v>
      </c>
      <c r="E69" t="b">
        <v>1</v>
      </c>
      <c r="F69">
        <v>0</v>
      </c>
      <c r="G69">
        <f>IF(tblResults[[#This Row],[Left System]]=0,2881-tblResults[[#This Row],[Entered System]],tblResults[[#This Row],[Left System]]-tblResults[[#This Row],[Entered System]]+1)</f>
        <v>72</v>
      </c>
      <c r="H69" s="10">
        <f>tblResults[[#This Row],[Idle Time]]/tblResults[[#This Row],[Time in System]]</f>
        <v>0</v>
      </c>
    </row>
    <row r="70" spans="1:8" x14ac:dyDescent="0.25">
      <c r="A70">
        <v>69</v>
      </c>
      <c r="B70">
        <v>1721</v>
      </c>
      <c r="C70">
        <v>1798</v>
      </c>
      <c r="D70">
        <v>-1</v>
      </c>
      <c r="E70" t="b">
        <v>1</v>
      </c>
      <c r="F70">
        <v>0</v>
      </c>
      <c r="G70">
        <f>IF(tblResults[[#This Row],[Left System]]=0,2881-tblResults[[#This Row],[Entered System]],tblResults[[#This Row],[Left System]]-tblResults[[#This Row],[Entered System]]+1)</f>
        <v>78</v>
      </c>
      <c r="H70" s="10">
        <f>tblResults[[#This Row],[Idle Time]]/tblResults[[#This Row],[Time in System]]</f>
        <v>0</v>
      </c>
    </row>
    <row r="71" spans="1:8" x14ac:dyDescent="0.25">
      <c r="A71">
        <v>70</v>
      </c>
      <c r="B71">
        <v>1748</v>
      </c>
      <c r="C71">
        <v>1829</v>
      </c>
      <c r="D71">
        <v>-1</v>
      </c>
      <c r="E71" t="b">
        <v>1</v>
      </c>
      <c r="F71">
        <v>0</v>
      </c>
      <c r="G71">
        <f>IF(tblResults[[#This Row],[Left System]]=0,2881-tblResults[[#This Row],[Entered System]],tblResults[[#This Row],[Left System]]-tblResults[[#This Row],[Entered System]]+1)</f>
        <v>82</v>
      </c>
      <c r="H71" s="10">
        <f>tblResults[[#This Row],[Idle Time]]/tblResults[[#This Row],[Time in System]]</f>
        <v>0</v>
      </c>
    </row>
    <row r="72" spans="1:8" x14ac:dyDescent="0.25">
      <c r="A72">
        <v>71</v>
      </c>
      <c r="B72">
        <v>1775</v>
      </c>
      <c r="C72">
        <v>1841</v>
      </c>
      <c r="D72">
        <v>-1</v>
      </c>
      <c r="E72" t="b">
        <v>1</v>
      </c>
      <c r="F72">
        <v>0</v>
      </c>
      <c r="G72">
        <f>IF(tblResults[[#This Row],[Left System]]=0,2881-tblResults[[#This Row],[Entered System]],tblResults[[#This Row],[Left System]]-tblResults[[#This Row],[Entered System]]+1)</f>
        <v>67</v>
      </c>
      <c r="H72" s="10">
        <f>tblResults[[#This Row],[Idle Time]]/tblResults[[#This Row],[Time in System]]</f>
        <v>0</v>
      </c>
    </row>
    <row r="73" spans="1:8" x14ac:dyDescent="0.25">
      <c r="A73">
        <v>72</v>
      </c>
      <c r="B73">
        <v>1801</v>
      </c>
      <c r="C73">
        <v>1876</v>
      </c>
      <c r="D73">
        <v>-1</v>
      </c>
      <c r="E73" t="b">
        <v>1</v>
      </c>
      <c r="F73">
        <v>0</v>
      </c>
      <c r="G73">
        <f>IF(tblResults[[#This Row],[Left System]]=0,2881-tblResults[[#This Row],[Entered System]],tblResults[[#This Row],[Left System]]-tblResults[[#This Row],[Entered System]]+1)</f>
        <v>76</v>
      </c>
      <c r="H73" s="10">
        <f>tblResults[[#This Row],[Idle Time]]/tblResults[[#This Row],[Time in System]]</f>
        <v>0</v>
      </c>
    </row>
    <row r="74" spans="1:8" x14ac:dyDescent="0.25">
      <c r="A74">
        <v>73</v>
      </c>
      <c r="B74">
        <v>1828</v>
      </c>
      <c r="C74">
        <v>1910</v>
      </c>
      <c r="D74">
        <v>-1</v>
      </c>
      <c r="E74" t="b">
        <v>1</v>
      </c>
      <c r="F74">
        <v>0</v>
      </c>
      <c r="G74">
        <f>IF(tblResults[[#This Row],[Left System]]=0,2881-tblResults[[#This Row],[Entered System]],tblResults[[#This Row],[Left System]]-tblResults[[#This Row],[Entered System]]+1)</f>
        <v>83</v>
      </c>
      <c r="H74" s="10">
        <f>tblResults[[#This Row],[Idle Time]]/tblResults[[#This Row],[Time in System]]</f>
        <v>0</v>
      </c>
    </row>
    <row r="75" spans="1:8" x14ac:dyDescent="0.25">
      <c r="A75">
        <v>74</v>
      </c>
      <c r="B75">
        <v>1847</v>
      </c>
      <c r="C75">
        <v>1946</v>
      </c>
      <c r="D75">
        <v>-1</v>
      </c>
      <c r="E75" t="b">
        <v>1</v>
      </c>
      <c r="F75">
        <v>0</v>
      </c>
      <c r="G75">
        <f>IF(tblResults[[#This Row],[Left System]]=0,2881-tblResults[[#This Row],[Entered System]],tblResults[[#This Row],[Left System]]-tblResults[[#This Row],[Entered System]]+1)</f>
        <v>100</v>
      </c>
      <c r="H75" s="10">
        <f>tblResults[[#This Row],[Idle Time]]/tblResults[[#This Row],[Time in System]]</f>
        <v>0</v>
      </c>
    </row>
    <row r="76" spans="1:8" x14ac:dyDescent="0.25">
      <c r="A76">
        <v>75</v>
      </c>
      <c r="B76">
        <v>1883</v>
      </c>
      <c r="C76">
        <v>1969</v>
      </c>
      <c r="D76">
        <v>-1</v>
      </c>
      <c r="E76" t="b">
        <v>1</v>
      </c>
      <c r="F76">
        <v>0</v>
      </c>
      <c r="G76">
        <f>IF(tblResults[[#This Row],[Left System]]=0,2881-tblResults[[#This Row],[Entered System]],tblResults[[#This Row],[Left System]]-tblResults[[#This Row],[Entered System]]+1)</f>
        <v>87</v>
      </c>
      <c r="H76" s="10">
        <f>tblResults[[#This Row],[Idle Time]]/tblResults[[#This Row],[Time in System]]</f>
        <v>0</v>
      </c>
    </row>
    <row r="77" spans="1:8" x14ac:dyDescent="0.25">
      <c r="A77">
        <v>76</v>
      </c>
      <c r="B77">
        <v>1903</v>
      </c>
      <c r="C77">
        <v>1998</v>
      </c>
      <c r="D77">
        <v>-1</v>
      </c>
      <c r="E77" t="b">
        <v>1</v>
      </c>
      <c r="F77">
        <v>0</v>
      </c>
      <c r="G77">
        <f>IF(tblResults[[#This Row],[Left System]]=0,2881-tblResults[[#This Row],[Entered System]],tblResults[[#This Row],[Left System]]-tblResults[[#This Row],[Entered System]]+1)</f>
        <v>96</v>
      </c>
      <c r="H77" s="10">
        <f>tblResults[[#This Row],[Idle Time]]/tblResults[[#This Row],[Time in System]]</f>
        <v>0</v>
      </c>
    </row>
    <row r="78" spans="1:8" x14ac:dyDescent="0.25">
      <c r="A78">
        <v>77</v>
      </c>
      <c r="B78">
        <v>1922</v>
      </c>
      <c r="C78">
        <v>2020</v>
      </c>
      <c r="D78">
        <v>-1</v>
      </c>
      <c r="E78" t="b">
        <v>1</v>
      </c>
      <c r="F78">
        <v>0</v>
      </c>
      <c r="G78">
        <f>IF(tblResults[[#This Row],[Left System]]=0,2881-tblResults[[#This Row],[Entered System]],tblResults[[#This Row],[Left System]]-tblResults[[#This Row],[Entered System]]+1)</f>
        <v>99</v>
      </c>
      <c r="H78" s="10">
        <f>tblResults[[#This Row],[Idle Time]]/tblResults[[#This Row],[Time in System]]</f>
        <v>0</v>
      </c>
    </row>
    <row r="79" spans="1:8" x14ac:dyDescent="0.25">
      <c r="A79">
        <v>78</v>
      </c>
      <c r="B79">
        <v>1944</v>
      </c>
      <c r="C79">
        <v>2031</v>
      </c>
      <c r="D79">
        <v>-1</v>
      </c>
      <c r="E79" t="b">
        <v>1</v>
      </c>
      <c r="F79">
        <v>0</v>
      </c>
      <c r="G79">
        <f>IF(tblResults[[#This Row],[Left System]]=0,2881-tblResults[[#This Row],[Entered System]],tblResults[[#This Row],[Left System]]-tblResults[[#This Row],[Entered System]]+1)</f>
        <v>88</v>
      </c>
      <c r="H79" s="10">
        <f>tblResults[[#This Row],[Idle Time]]/tblResults[[#This Row],[Time in System]]</f>
        <v>0</v>
      </c>
    </row>
    <row r="80" spans="1:8" x14ac:dyDescent="0.25">
      <c r="A80">
        <v>79</v>
      </c>
      <c r="B80">
        <v>1970</v>
      </c>
      <c r="C80">
        <v>2038</v>
      </c>
      <c r="D80">
        <v>-1</v>
      </c>
      <c r="E80" t="b">
        <v>1</v>
      </c>
      <c r="F80">
        <v>1</v>
      </c>
      <c r="G80">
        <f>IF(tblResults[[#This Row],[Left System]]=0,2881-tblResults[[#This Row],[Entered System]],tblResults[[#This Row],[Left System]]-tblResults[[#This Row],[Entered System]]+1)</f>
        <v>69</v>
      </c>
      <c r="H80" s="10">
        <f>tblResults[[#This Row],[Idle Time]]/tblResults[[#This Row],[Time in System]]</f>
        <v>1.4492753623188406E-2</v>
      </c>
    </row>
    <row r="81" spans="1:8" x14ac:dyDescent="0.25">
      <c r="A81">
        <v>80</v>
      </c>
      <c r="B81">
        <v>1996</v>
      </c>
      <c r="C81">
        <v>2080</v>
      </c>
      <c r="D81">
        <v>-1</v>
      </c>
      <c r="E81" t="b">
        <v>1</v>
      </c>
      <c r="F81">
        <v>0</v>
      </c>
      <c r="G81">
        <f>IF(tblResults[[#This Row],[Left System]]=0,2881-tblResults[[#This Row],[Entered System]],tblResults[[#This Row],[Left System]]-tblResults[[#This Row],[Entered System]]+1)</f>
        <v>85</v>
      </c>
      <c r="H81" s="10">
        <f>tblResults[[#This Row],[Idle Time]]/tblResults[[#This Row],[Time in System]]</f>
        <v>0</v>
      </c>
    </row>
    <row r="82" spans="1:8" x14ac:dyDescent="0.25">
      <c r="A82">
        <v>81</v>
      </c>
      <c r="B82">
        <v>2014</v>
      </c>
      <c r="C82">
        <v>2100</v>
      </c>
      <c r="D82">
        <v>-1</v>
      </c>
      <c r="E82" t="b">
        <v>1</v>
      </c>
      <c r="F82">
        <v>0</v>
      </c>
      <c r="G82">
        <f>IF(tblResults[[#This Row],[Left System]]=0,2881-tblResults[[#This Row],[Entered System]],tblResults[[#This Row],[Left System]]-tblResults[[#This Row],[Entered System]]+1)</f>
        <v>87</v>
      </c>
      <c r="H82" s="10">
        <f>tblResults[[#This Row],[Idle Time]]/tblResults[[#This Row],[Time in System]]</f>
        <v>0</v>
      </c>
    </row>
    <row r="83" spans="1:8" x14ac:dyDescent="0.25">
      <c r="A83">
        <v>82</v>
      </c>
      <c r="B83">
        <v>2038</v>
      </c>
      <c r="C83">
        <v>2131</v>
      </c>
      <c r="D83">
        <v>-1</v>
      </c>
      <c r="E83" t="b">
        <v>1</v>
      </c>
      <c r="F83">
        <v>0</v>
      </c>
      <c r="G83">
        <f>IF(tblResults[[#This Row],[Left System]]=0,2881-tblResults[[#This Row],[Entered System]],tblResults[[#This Row],[Left System]]-tblResults[[#This Row],[Entered System]]+1)</f>
        <v>94</v>
      </c>
      <c r="H83" s="10">
        <f>tblResults[[#This Row],[Idle Time]]/tblResults[[#This Row],[Time in System]]</f>
        <v>0</v>
      </c>
    </row>
    <row r="84" spans="1:8" x14ac:dyDescent="0.25">
      <c r="A84">
        <v>83</v>
      </c>
      <c r="B84">
        <v>2067</v>
      </c>
      <c r="C84">
        <v>2163</v>
      </c>
      <c r="D84">
        <v>-1</v>
      </c>
      <c r="E84" t="b">
        <v>1</v>
      </c>
      <c r="F84">
        <v>0</v>
      </c>
      <c r="G84">
        <f>IF(tblResults[[#This Row],[Left System]]=0,2881-tblResults[[#This Row],[Entered System]],tblResults[[#This Row],[Left System]]-tblResults[[#This Row],[Entered System]]+1)</f>
        <v>97</v>
      </c>
      <c r="H84" s="10">
        <f>tblResults[[#This Row],[Idle Time]]/tblResults[[#This Row],[Time in System]]</f>
        <v>0</v>
      </c>
    </row>
    <row r="85" spans="1:8" x14ac:dyDescent="0.25">
      <c r="A85">
        <v>84</v>
      </c>
      <c r="B85">
        <v>2097</v>
      </c>
      <c r="C85">
        <v>2168</v>
      </c>
      <c r="D85">
        <v>-1</v>
      </c>
      <c r="E85" t="b">
        <v>1</v>
      </c>
      <c r="F85">
        <v>2</v>
      </c>
      <c r="G85">
        <f>IF(tblResults[[#This Row],[Left System]]=0,2881-tblResults[[#This Row],[Entered System]],tblResults[[#This Row],[Left System]]-tblResults[[#This Row],[Entered System]]+1)</f>
        <v>72</v>
      </c>
      <c r="H85" s="10">
        <f>tblResults[[#This Row],[Idle Time]]/tblResults[[#This Row],[Time in System]]</f>
        <v>2.7777777777777776E-2</v>
      </c>
    </row>
    <row r="86" spans="1:8" x14ac:dyDescent="0.25">
      <c r="A86">
        <v>85</v>
      </c>
      <c r="B86">
        <v>2118</v>
      </c>
      <c r="C86">
        <v>2202</v>
      </c>
      <c r="D86">
        <v>-1</v>
      </c>
      <c r="E86" t="b">
        <v>1</v>
      </c>
      <c r="F86">
        <v>0</v>
      </c>
      <c r="G86">
        <f>IF(tblResults[[#This Row],[Left System]]=0,2881-tblResults[[#This Row],[Entered System]],tblResults[[#This Row],[Left System]]-tblResults[[#This Row],[Entered System]]+1)</f>
        <v>85</v>
      </c>
      <c r="H86" s="10">
        <f>tblResults[[#This Row],[Idle Time]]/tblResults[[#This Row],[Time in System]]</f>
        <v>0</v>
      </c>
    </row>
    <row r="87" spans="1:8" x14ac:dyDescent="0.25">
      <c r="A87">
        <v>86</v>
      </c>
      <c r="B87">
        <v>2145</v>
      </c>
      <c r="C87">
        <v>2222</v>
      </c>
      <c r="D87">
        <v>-1</v>
      </c>
      <c r="E87" t="b">
        <v>1</v>
      </c>
      <c r="F87">
        <v>0</v>
      </c>
      <c r="G87">
        <f>IF(tblResults[[#This Row],[Left System]]=0,2881-tblResults[[#This Row],[Entered System]],tblResults[[#This Row],[Left System]]-tblResults[[#This Row],[Entered System]]+1)</f>
        <v>78</v>
      </c>
      <c r="H87" s="10">
        <f>tblResults[[#This Row],[Idle Time]]/tblResults[[#This Row],[Time in System]]</f>
        <v>0</v>
      </c>
    </row>
    <row r="88" spans="1:8" x14ac:dyDescent="0.25">
      <c r="A88">
        <v>87</v>
      </c>
      <c r="B88">
        <v>2176</v>
      </c>
      <c r="C88">
        <v>2263</v>
      </c>
      <c r="D88">
        <v>-1</v>
      </c>
      <c r="E88" t="b">
        <v>1</v>
      </c>
      <c r="F88">
        <v>0</v>
      </c>
      <c r="G88">
        <f>IF(tblResults[[#This Row],[Left System]]=0,2881-tblResults[[#This Row],[Entered System]],tblResults[[#This Row],[Left System]]-tblResults[[#This Row],[Entered System]]+1)</f>
        <v>88</v>
      </c>
      <c r="H88" s="10">
        <f>tblResults[[#This Row],[Idle Time]]/tblResults[[#This Row],[Time in System]]</f>
        <v>0</v>
      </c>
    </row>
    <row r="89" spans="1:8" x14ac:dyDescent="0.25">
      <c r="A89">
        <v>88</v>
      </c>
      <c r="B89">
        <v>2196</v>
      </c>
      <c r="C89">
        <v>2263</v>
      </c>
      <c r="D89">
        <v>-1</v>
      </c>
      <c r="E89" t="b">
        <v>1</v>
      </c>
      <c r="F89">
        <v>3</v>
      </c>
      <c r="G89">
        <f>IF(tblResults[[#This Row],[Left System]]=0,2881-tblResults[[#This Row],[Entered System]],tblResults[[#This Row],[Left System]]-tblResults[[#This Row],[Entered System]]+1)</f>
        <v>68</v>
      </c>
      <c r="H89" s="10">
        <f>tblResults[[#This Row],[Idle Time]]/tblResults[[#This Row],[Time in System]]</f>
        <v>4.4117647058823532E-2</v>
      </c>
    </row>
    <row r="90" spans="1:8" x14ac:dyDescent="0.25">
      <c r="A90">
        <v>89</v>
      </c>
      <c r="B90">
        <v>2220</v>
      </c>
      <c r="C90">
        <v>2312</v>
      </c>
      <c r="D90">
        <v>-1</v>
      </c>
      <c r="E90" t="b">
        <v>1</v>
      </c>
      <c r="F90">
        <v>0</v>
      </c>
      <c r="G90">
        <f>IF(tblResults[[#This Row],[Left System]]=0,2881-tblResults[[#This Row],[Entered System]],tblResults[[#This Row],[Left System]]-tblResults[[#This Row],[Entered System]]+1)</f>
        <v>93</v>
      </c>
      <c r="H90" s="10">
        <f>tblResults[[#This Row],[Idle Time]]/tblResults[[#This Row],[Time in System]]</f>
        <v>0</v>
      </c>
    </row>
    <row r="91" spans="1:8" x14ac:dyDescent="0.25">
      <c r="A91">
        <v>90</v>
      </c>
      <c r="B91">
        <v>2237</v>
      </c>
      <c r="C91">
        <v>2319</v>
      </c>
      <c r="D91">
        <v>-1</v>
      </c>
      <c r="E91" t="b">
        <v>1</v>
      </c>
      <c r="F91">
        <v>6</v>
      </c>
      <c r="G91">
        <f>IF(tblResults[[#This Row],[Left System]]=0,2881-tblResults[[#This Row],[Entered System]],tblResults[[#This Row],[Left System]]-tblResults[[#This Row],[Entered System]]+1)</f>
        <v>83</v>
      </c>
      <c r="H91" s="10">
        <f>tblResults[[#This Row],[Idle Time]]/tblResults[[#This Row],[Time in System]]</f>
        <v>7.2289156626506021E-2</v>
      </c>
    </row>
    <row r="92" spans="1:8" x14ac:dyDescent="0.25">
      <c r="A92">
        <v>91</v>
      </c>
      <c r="B92">
        <v>2269</v>
      </c>
      <c r="C92">
        <v>2356</v>
      </c>
      <c r="D92">
        <v>-1</v>
      </c>
      <c r="E92" t="b">
        <v>1</v>
      </c>
      <c r="F92">
        <v>0</v>
      </c>
      <c r="G92">
        <f>IF(tblResults[[#This Row],[Left System]]=0,2881-tblResults[[#This Row],[Entered System]],tblResults[[#This Row],[Left System]]-tblResults[[#This Row],[Entered System]]+1)</f>
        <v>88</v>
      </c>
      <c r="H92" s="10">
        <f>tblResults[[#This Row],[Idle Time]]/tblResults[[#This Row],[Time in System]]</f>
        <v>0</v>
      </c>
    </row>
    <row r="93" spans="1:8" x14ac:dyDescent="0.25">
      <c r="A93">
        <v>92</v>
      </c>
      <c r="B93">
        <v>2296</v>
      </c>
      <c r="C93">
        <v>2374</v>
      </c>
      <c r="D93">
        <v>-1</v>
      </c>
      <c r="E93" t="b">
        <v>1</v>
      </c>
      <c r="F93">
        <v>0</v>
      </c>
      <c r="G93">
        <f>IF(tblResults[[#This Row],[Left System]]=0,2881-tblResults[[#This Row],[Entered System]],tblResults[[#This Row],[Left System]]-tblResults[[#This Row],[Entered System]]+1)</f>
        <v>79</v>
      </c>
      <c r="H93" s="10">
        <f>tblResults[[#This Row],[Idle Time]]/tblResults[[#This Row],[Time in System]]</f>
        <v>0</v>
      </c>
    </row>
    <row r="94" spans="1:8" x14ac:dyDescent="0.25">
      <c r="A94">
        <v>93</v>
      </c>
      <c r="B94">
        <v>2326</v>
      </c>
      <c r="C94">
        <v>2426</v>
      </c>
      <c r="D94">
        <v>-1</v>
      </c>
      <c r="E94" t="b">
        <v>1</v>
      </c>
      <c r="F94">
        <v>0</v>
      </c>
      <c r="G94">
        <f>IF(tblResults[[#This Row],[Left System]]=0,2881-tblResults[[#This Row],[Entered System]],tblResults[[#This Row],[Left System]]-tblResults[[#This Row],[Entered System]]+1)</f>
        <v>101</v>
      </c>
      <c r="H94" s="10">
        <f>tblResults[[#This Row],[Idle Time]]/tblResults[[#This Row],[Time in System]]</f>
        <v>0</v>
      </c>
    </row>
    <row r="95" spans="1:8" x14ac:dyDescent="0.25">
      <c r="A95">
        <v>94</v>
      </c>
      <c r="B95">
        <v>2341</v>
      </c>
      <c r="C95">
        <v>2444</v>
      </c>
      <c r="D95">
        <v>-1</v>
      </c>
      <c r="E95" t="b">
        <v>1</v>
      </c>
      <c r="F95">
        <v>9</v>
      </c>
      <c r="G95">
        <f>IF(tblResults[[#This Row],[Left System]]=0,2881-tblResults[[#This Row],[Entered System]],tblResults[[#This Row],[Left System]]-tblResults[[#This Row],[Entered System]]+1)</f>
        <v>104</v>
      </c>
      <c r="H95" s="10">
        <f>tblResults[[#This Row],[Idle Time]]/tblResults[[#This Row],[Time in System]]</f>
        <v>8.6538461538461536E-2</v>
      </c>
    </row>
    <row r="96" spans="1:8" x14ac:dyDescent="0.25">
      <c r="A96">
        <v>95</v>
      </c>
      <c r="B96">
        <v>2368</v>
      </c>
      <c r="C96">
        <v>2458</v>
      </c>
      <c r="D96">
        <v>-1</v>
      </c>
      <c r="E96" t="b">
        <v>1</v>
      </c>
      <c r="F96">
        <v>0</v>
      </c>
      <c r="G96">
        <f>IF(tblResults[[#This Row],[Left System]]=0,2881-tblResults[[#This Row],[Entered System]],tblResults[[#This Row],[Left System]]-tblResults[[#This Row],[Entered System]]+1)</f>
        <v>91</v>
      </c>
      <c r="H96" s="10">
        <f>tblResults[[#This Row],[Idle Time]]/tblResults[[#This Row],[Time in System]]</f>
        <v>0</v>
      </c>
    </row>
    <row r="97" spans="1:8" x14ac:dyDescent="0.25">
      <c r="A97">
        <v>96</v>
      </c>
      <c r="B97">
        <v>2396</v>
      </c>
      <c r="C97">
        <v>2476</v>
      </c>
      <c r="D97">
        <v>-1</v>
      </c>
      <c r="E97" t="b">
        <v>1</v>
      </c>
      <c r="F97">
        <v>0</v>
      </c>
      <c r="G97">
        <f>IF(tblResults[[#This Row],[Left System]]=0,2881-tblResults[[#This Row],[Entered System]],tblResults[[#This Row],[Left System]]-tblResults[[#This Row],[Entered System]]+1)</f>
        <v>81</v>
      </c>
      <c r="H97" s="10">
        <f>tblResults[[#This Row],[Idle Time]]/tblResults[[#This Row],[Time in System]]</f>
        <v>0</v>
      </c>
    </row>
    <row r="98" spans="1:8" x14ac:dyDescent="0.25">
      <c r="A98">
        <v>97</v>
      </c>
      <c r="B98">
        <v>2417</v>
      </c>
      <c r="C98">
        <v>2499</v>
      </c>
      <c r="D98">
        <v>-1</v>
      </c>
      <c r="E98" t="b">
        <v>1</v>
      </c>
      <c r="F98">
        <v>0</v>
      </c>
      <c r="G98">
        <f>IF(tblResults[[#This Row],[Left System]]=0,2881-tblResults[[#This Row],[Entered System]],tblResults[[#This Row],[Left System]]-tblResults[[#This Row],[Entered System]]+1)</f>
        <v>83</v>
      </c>
      <c r="H98" s="10">
        <f>tblResults[[#This Row],[Idle Time]]/tblResults[[#This Row],[Time in System]]</f>
        <v>0</v>
      </c>
    </row>
    <row r="99" spans="1:8" x14ac:dyDescent="0.25">
      <c r="A99">
        <v>98</v>
      </c>
      <c r="B99">
        <v>2444</v>
      </c>
      <c r="C99">
        <v>2546</v>
      </c>
      <c r="D99">
        <v>-1</v>
      </c>
      <c r="E99" t="b">
        <v>1</v>
      </c>
      <c r="F99">
        <v>0</v>
      </c>
      <c r="G99">
        <f>IF(tblResults[[#This Row],[Left System]]=0,2881-tblResults[[#This Row],[Entered System]],tblResults[[#This Row],[Left System]]-tblResults[[#This Row],[Entered System]]+1)</f>
        <v>103</v>
      </c>
      <c r="H99" s="10">
        <f>tblResults[[#This Row],[Idle Time]]/tblResults[[#This Row],[Time in System]]</f>
        <v>0</v>
      </c>
    </row>
    <row r="100" spans="1:8" x14ac:dyDescent="0.25">
      <c r="A100">
        <v>99</v>
      </c>
      <c r="B100">
        <v>2473</v>
      </c>
      <c r="C100">
        <v>2578</v>
      </c>
      <c r="D100">
        <v>-1</v>
      </c>
      <c r="E100" t="b">
        <v>1</v>
      </c>
      <c r="F100">
        <v>0</v>
      </c>
      <c r="G100">
        <f>IF(tblResults[[#This Row],[Left System]]=0,2881-tblResults[[#This Row],[Entered System]],tblResults[[#This Row],[Left System]]-tblResults[[#This Row],[Entered System]]+1)</f>
        <v>106</v>
      </c>
      <c r="H100" s="10">
        <f>tblResults[[#This Row],[Idle Time]]/tblResults[[#This Row],[Time in System]]</f>
        <v>0</v>
      </c>
    </row>
    <row r="101" spans="1:8" x14ac:dyDescent="0.25">
      <c r="A101">
        <v>100</v>
      </c>
      <c r="B101">
        <v>2495</v>
      </c>
      <c r="C101">
        <v>2578</v>
      </c>
      <c r="D101">
        <v>-1</v>
      </c>
      <c r="E101" t="b">
        <v>1</v>
      </c>
      <c r="F101">
        <v>7</v>
      </c>
      <c r="G101">
        <f>IF(tblResults[[#This Row],[Left System]]=0,2881-tblResults[[#This Row],[Entered System]],tblResults[[#This Row],[Left System]]-tblResults[[#This Row],[Entered System]]+1)</f>
        <v>84</v>
      </c>
      <c r="H101" s="10">
        <f>tblResults[[#This Row],[Idle Time]]/tblResults[[#This Row],[Time in System]]</f>
        <v>8.3333333333333329E-2</v>
      </c>
    </row>
    <row r="102" spans="1:8" x14ac:dyDescent="0.25">
      <c r="A102">
        <v>101</v>
      </c>
      <c r="B102">
        <v>2515</v>
      </c>
      <c r="C102">
        <v>2594</v>
      </c>
      <c r="D102">
        <v>-1</v>
      </c>
      <c r="E102" t="b">
        <v>1</v>
      </c>
      <c r="F102">
        <v>0</v>
      </c>
      <c r="G102">
        <f>IF(tblResults[[#This Row],[Left System]]=0,2881-tblResults[[#This Row],[Entered System]],tblResults[[#This Row],[Left System]]-tblResults[[#This Row],[Entered System]]+1)</f>
        <v>80</v>
      </c>
      <c r="H102" s="10">
        <f>tblResults[[#This Row],[Idle Time]]/tblResults[[#This Row],[Time in System]]</f>
        <v>0</v>
      </c>
    </row>
    <row r="103" spans="1:8" x14ac:dyDescent="0.25">
      <c r="A103">
        <v>102</v>
      </c>
      <c r="B103">
        <v>2541</v>
      </c>
      <c r="C103">
        <v>2623</v>
      </c>
      <c r="D103">
        <v>-1</v>
      </c>
      <c r="E103" t="b">
        <v>1</v>
      </c>
      <c r="F103">
        <v>0</v>
      </c>
      <c r="G103">
        <f>IF(tblResults[[#This Row],[Left System]]=0,2881-tblResults[[#This Row],[Entered System]],tblResults[[#This Row],[Left System]]-tblResults[[#This Row],[Entered System]]+1)</f>
        <v>83</v>
      </c>
      <c r="H103" s="10">
        <f>tblResults[[#This Row],[Idle Time]]/tblResults[[#This Row],[Time in System]]</f>
        <v>0</v>
      </c>
    </row>
    <row r="104" spans="1:8" x14ac:dyDescent="0.25">
      <c r="A104">
        <v>103</v>
      </c>
      <c r="B104">
        <v>2566</v>
      </c>
      <c r="C104">
        <v>2652</v>
      </c>
      <c r="D104">
        <v>-1</v>
      </c>
      <c r="E104" t="b">
        <v>1</v>
      </c>
      <c r="F104">
        <v>0</v>
      </c>
      <c r="G104">
        <f>IF(tblResults[[#This Row],[Left System]]=0,2881-tblResults[[#This Row],[Entered System]],tblResults[[#This Row],[Left System]]-tblResults[[#This Row],[Entered System]]+1)</f>
        <v>87</v>
      </c>
      <c r="H104" s="10">
        <f>tblResults[[#This Row],[Idle Time]]/tblResults[[#This Row],[Time in System]]</f>
        <v>0</v>
      </c>
    </row>
    <row r="105" spans="1:8" x14ac:dyDescent="0.25">
      <c r="A105">
        <v>104</v>
      </c>
      <c r="B105">
        <v>2589</v>
      </c>
      <c r="C105">
        <v>2672</v>
      </c>
      <c r="D105">
        <v>-1</v>
      </c>
      <c r="E105" t="b">
        <v>1</v>
      </c>
      <c r="F105">
        <v>0</v>
      </c>
      <c r="G105">
        <f>IF(tblResults[[#This Row],[Left System]]=0,2881-tblResults[[#This Row],[Entered System]],tblResults[[#This Row],[Left System]]-tblResults[[#This Row],[Entered System]]+1)</f>
        <v>84</v>
      </c>
      <c r="H105" s="10">
        <f>tblResults[[#This Row],[Idle Time]]/tblResults[[#This Row],[Time in System]]</f>
        <v>0</v>
      </c>
    </row>
    <row r="106" spans="1:8" x14ac:dyDescent="0.25">
      <c r="A106">
        <v>105</v>
      </c>
      <c r="B106">
        <v>2614</v>
      </c>
      <c r="C106">
        <v>2717</v>
      </c>
      <c r="D106">
        <v>-1</v>
      </c>
      <c r="E106" t="b">
        <v>1</v>
      </c>
      <c r="F106">
        <v>0</v>
      </c>
      <c r="G106">
        <f>IF(tblResults[[#This Row],[Left System]]=0,2881-tblResults[[#This Row],[Entered System]],tblResults[[#This Row],[Left System]]-tblResults[[#This Row],[Entered System]]+1)</f>
        <v>104</v>
      </c>
      <c r="H106" s="10">
        <f>tblResults[[#This Row],[Idle Time]]/tblResults[[#This Row],[Time in System]]</f>
        <v>0</v>
      </c>
    </row>
    <row r="107" spans="1:8" x14ac:dyDescent="0.25">
      <c r="A107">
        <v>106</v>
      </c>
      <c r="B107">
        <v>2636</v>
      </c>
      <c r="C107">
        <v>2723</v>
      </c>
      <c r="D107">
        <v>-1</v>
      </c>
      <c r="E107" t="b">
        <v>1</v>
      </c>
      <c r="F107">
        <v>0</v>
      </c>
      <c r="G107">
        <f>IF(tblResults[[#This Row],[Left System]]=0,2881-tblResults[[#This Row],[Entered System]],tblResults[[#This Row],[Left System]]-tblResults[[#This Row],[Entered System]]+1)</f>
        <v>88</v>
      </c>
      <c r="H107" s="10">
        <f>tblResults[[#This Row],[Idle Time]]/tblResults[[#This Row],[Time in System]]</f>
        <v>0</v>
      </c>
    </row>
    <row r="108" spans="1:8" x14ac:dyDescent="0.25">
      <c r="A108">
        <v>107</v>
      </c>
      <c r="B108">
        <v>2658</v>
      </c>
      <c r="C108">
        <v>2734</v>
      </c>
      <c r="D108">
        <v>-1</v>
      </c>
      <c r="E108" t="b">
        <v>1</v>
      </c>
      <c r="F108">
        <v>0</v>
      </c>
      <c r="G108">
        <f>IF(tblResults[[#This Row],[Left System]]=0,2881-tblResults[[#This Row],[Entered System]],tblResults[[#This Row],[Left System]]-tblResults[[#This Row],[Entered System]]+1)</f>
        <v>77</v>
      </c>
      <c r="H108" s="10">
        <f>tblResults[[#This Row],[Idle Time]]/tblResults[[#This Row],[Time in System]]</f>
        <v>0</v>
      </c>
    </row>
    <row r="109" spans="1:8" x14ac:dyDescent="0.25">
      <c r="A109">
        <v>108</v>
      </c>
      <c r="B109">
        <v>2677</v>
      </c>
      <c r="C109">
        <v>2755</v>
      </c>
      <c r="D109">
        <v>-1</v>
      </c>
      <c r="E109" t="b">
        <v>1</v>
      </c>
      <c r="F109">
        <v>0</v>
      </c>
      <c r="G109">
        <f>IF(tblResults[[#This Row],[Left System]]=0,2881-tblResults[[#This Row],[Entered System]],tblResults[[#This Row],[Left System]]-tblResults[[#This Row],[Entered System]]+1)</f>
        <v>79</v>
      </c>
      <c r="H109" s="10">
        <f>tblResults[[#This Row],[Idle Time]]/tblResults[[#This Row],[Time in System]]</f>
        <v>0</v>
      </c>
    </row>
    <row r="110" spans="1:8" x14ac:dyDescent="0.25">
      <c r="A110">
        <v>109</v>
      </c>
      <c r="B110">
        <v>2705</v>
      </c>
      <c r="C110">
        <v>2781</v>
      </c>
      <c r="D110">
        <v>-1</v>
      </c>
      <c r="E110" t="b">
        <v>1</v>
      </c>
      <c r="F110">
        <v>0</v>
      </c>
      <c r="G110">
        <f>IF(tblResults[[#This Row],[Left System]]=0,2881-tblResults[[#This Row],[Entered System]],tblResults[[#This Row],[Left System]]-tblResults[[#This Row],[Entered System]]+1)</f>
        <v>77</v>
      </c>
      <c r="H110" s="10">
        <f>tblResults[[#This Row],[Idle Time]]/tblResults[[#This Row],[Time in System]]</f>
        <v>0</v>
      </c>
    </row>
    <row r="111" spans="1:8" x14ac:dyDescent="0.25">
      <c r="A111">
        <v>110</v>
      </c>
      <c r="B111">
        <v>2737</v>
      </c>
      <c r="C111">
        <v>2822</v>
      </c>
      <c r="D111">
        <v>-1</v>
      </c>
      <c r="E111" t="b">
        <v>1</v>
      </c>
      <c r="F111">
        <v>0</v>
      </c>
      <c r="G111">
        <f>IF(tblResults[[#This Row],[Left System]]=0,2881-tblResults[[#This Row],[Entered System]],tblResults[[#This Row],[Left System]]-tblResults[[#This Row],[Entered System]]+1)</f>
        <v>86</v>
      </c>
      <c r="H111" s="10">
        <f>tblResults[[#This Row],[Idle Time]]/tblResults[[#This Row],[Time in System]]</f>
        <v>0</v>
      </c>
    </row>
    <row r="112" spans="1:8" x14ac:dyDescent="0.25">
      <c r="A112">
        <v>111</v>
      </c>
      <c r="B112">
        <v>2764</v>
      </c>
      <c r="C112">
        <v>2856</v>
      </c>
      <c r="D112">
        <v>-1</v>
      </c>
      <c r="E112" t="b">
        <v>1</v>
      </c>
      <c r="F112">
        <v>0</v>
      </c>
      <c r="G112">
        <f>IF(tblResults[[#This Row],[Left System]]=0,2881-tblResults[[#This Row],[Entered System]],tblResults[[#This Row],[Left System]]-tblResults[[#This Row],[Entered System]]+1)</f>
        <v>93</v>
      </c>
      <c r="H112" s="10">
        <f>tblResults[[#This Row],[Idle Time]]/tblResults[[#This Row],[Time in System]]</f>
        <v>0</v>
      </c>
    </row>
    <row r="113" spans="1:8" x14ac:dyDescent="0.25">
      <c r="A113">
        <v>112</v>
      </c>
      <c r="B113">
        <v>2789</v>
      </c>
      <c r="C113">
        <v>2859</v>
      </c>
      <c r="D113">
        <v>-1</v>
      </c>
      <c r="E113" t="b">
        <v>1</v>
      </c>
      <c r="F113">
        <v>0</v>
      </c>
      <c r="G113">
        <f>IF(tblResults[[#This Row],[Left System]]=0,2881-tblResults[[#This Row],[Entered System]],tblResults[[#This Row],[Left System]]-tblResults[[#This Row],[Entered System]]+1)</f>
        <v>71</v>
      </c>
      <c r="H113" s="10">
        <f>tblResults[[#This Row],[Idle Time]]/tblResults[[#This Row],[Time in System]]</f>
        <v>0</v>
      </c>
    </row>
    <row r="114" spans="1:8" x14ac:dyDescent="0.25">
      <c r="A114">
        <v>113</v>
      </c>
      <c r="B114">
        <v>2817</v>
      </c>
      <c r="C114">
        <v>0</v>
      </c>
      <c r="D114">
        <v>5</v>
      </c>
      <c r="E114" t="b">
        <v>1</v>
      </c>
      <c r="F114">
        <v>0</v>
      </c>
      <c r="G114">
        <f>IF(tblResults[[#This Row],[Left System]]=0,2881-tblResults[[#This Row],[Entered System]],tblResults[[#This Row],[Left System]]-tblResults[[#This Row],[Entered System]]+1)</f>
        <v>64</v>
      </c>
      <c r="H114" s="10">
        <f>tblResults[[#This Row],[Idle Time]]/tblResults[[#This Row],[Time in System]]</f>
        <v>0</v>
      </c>
    </row>
    <row r="115" spans="1:8" x14ac:dyDescent="0.25">
      <c r="A115">
        <v>114</v>
      </c>
      <c r="B115">
        <v>2839</v>
      </c>
      <c r="C115">
        <v>0</v>
      </c>
      <c r="D115">
        <v>3</v>
      </c>
      <c r="E115" t="b">
        <v>0</v>
      </c>
      <c r="F115">
        <v>0</v>
      </c>
      <c r="G115">
        <f>IF(tblResults[[#This Row],[Left System]]=0,2881-tblResults[[#This Row],[Entered System]],tblResults[[#This Row],[Left System]]-tblResults[[#This Row],[Entered System]]+1)</f>
        <v>42</v>
      </c>
      <c r="H115" s="10">
        <f>tblResults[[#This Row],[Idle Time]]/tblResults[[#This Row],[Time in System]]</f>
        <v>0</v>
      </c>
    </row>
    <row r="116" spans="1:8" x14ac:dyDescent="0.25">
      <c r="A116">
        <v>115</v>
      </c>
      <c r="B116">
        <v>2872</v>
      </c>
      <c r="C116">
        <v>0</v>
      </c>
      <c r="D116">
        <v>1</v>
      </c>
      <c r="E116" t="b">
        <v>0</v>
      </c>
      <c r="F116">
        <v>0</v>
      </c>
      <c r="G116">
        <f>IF(tblResults[[#This Row],[Left System]]=0,2881-tblResults[[#This Row],[Entered System]],tblResults[[#This Row],[Left System]]-tblResults[[#This Row],[Entered System]]+1)</f>
        <v>9</v>
      </c>
      <c r="H116" s="10">
        <f>tblResults[[#This Row],[Idle Time]]/tblResults[[#This Row],[Time in System]]</f>
        <v>0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SimSetup</vt:lpstr>
      <vt:lpstr>Results</vt:lpstr>
      <vt:lpstr>NoOfStations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Usher</dc:creator>
  <cp:lastModifiedBy>Steve Usher</cp:lastModifiedBy>
  <dcterms:created xsi:type="dcterms:W3CDTF">2021-04-12T06:35:10Z</dcterms:created>
  <dcterms:modified xsi:type="dcterms:W3CDTF">2021-04-13T09:42:59Z</dcterms:modified>
</cp:coreProperties>
</file>